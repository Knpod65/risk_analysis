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คู่มือ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1_บริหารทั่วไป" sheetId="3" state="visible" r:id="rId3"/>
    <sheet xmlns:r="http://schemas.openxmlformats.org/officeDocument/2006/relationships" name="2_ยุทธศาสตร์และแผน" sheetId="4" state="visible" r:id="rId4"/>
    <sheet xmlns:r="http://schemas.openxmlformats.org/officeDocument/2006/relationships" name="3_วิจัยและบริการวิชาการ" sheetId="5" state="visible" r:id="rId5"/>
    <sheet xmlns:r="http://schemas.openxmlformats.org/officeDocument/2006/relationships" name="4_การศึกษาและนักศึกษา" sheetId="6" state="visible" r:id="rId6"/>
    <sheet xmlns:r="http://schemas.openxmlformats.org/officeDocument/2006/relationships" name="Settings" sheetId="7" state="visible" r:id="rId7"/>
  </sheets>
  <definedNames>
    <definedName name="_xlnm.Print_Titles" localSheetId="2">'1_บริหารทั่วไป'!$4:$5</definedName>
    <definedName name="_xlnm.Print_Titles" localSheetId="3">'2_ยุทธศาสตร์และแผน'!$4:$5</definedName>
    <definedName name="_xlnm.Print_Titles" localSheetId="4">'3_วิจัยและบริการวิชาการ'!$4:$5</definedName>
    <definedName name="_xlnm.Print_Titles" localSheetId="5">'4_การศึกษาและนักศึกษา'!$4:$5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family val="2"/>
      <color theme="1"/>
      <sz val="11"/>
      <scheme val="minor"/>
    </font>
    <font>
      <name val="TH Sarabun New"/>
      <b val="1"/>
      <color rgb="001F3864"/>
      <sz val="14"/>
    </font>
    <font>
      <name val="TH Sarabun New"/>
      <b val="1"/>
      <color rgb="00FFFFFF"/>
      <sz val="10"/>
    </font>
    <font>
      <name val="TH Sarabun New"/>
      <color rgb="00000000"/>
      <sz val="10"/>
    </font>
    <font>
      <name val="TH Sarabun New"/>
      <b val="1"/>
      <color rgb="00000000"/>
      <sz val="10"/>
    </font>
    <font>
      <name val="TH Sarabun New"/>
      <b val="1"/>
      <color rgb="00C00000"/>
      <sz val="10"/>
    </font>
    <font>
      <name val="TH Sarabun New"/>
      <b val="1"/>
      <color rgb="00000000"/>
      <sz val="11"/>
    </font>
    <font>
      <name val="TH Sarabun New"/>
      <b val="1"/>
      <color rgb="00C00000"/>
      <sz val="11"/>
    </font>
    <font>
      <name val="TH Sarabun New"/>
      <color rgb="00595959"/>
      <sz val="10"/>
    </font>
    <font>
      <name val="TH Sarabun New"/>
      <b val="1"/>
      <color rgb="00FFFFFF"/>
      <sz val="12"/>
    </font>
    <font>
      <name val="TH Sarabun New"/>
      <b val="1"/>
      <color rgb="00FFFFFF"/>
      <sz val="9"/>
    </font>
    <font>
      <name val="TH Sarabun New"/>
      <b val="1"/>
      <color rgb="001F3864"/>
      <sz val="9"/>
    </font>
    <font>
      <name val="TH Sarabun New"/>
      <i val="1"/>
      <color rgb="001F3864"/>
      <sz val="8"/>
    </font>
    <font>
      <name val="TH Sarabun New"/>
      <b val="1"/>
      <color rgb="001F3864"/>
      <sz val="16"/>
    </font>
    <font>
      <name val="TH Sarabun New"/>
      <b val="1"/>
      <color rgb="00C00000"/>
      <sz val="9"/>
    </font>
    <font>
      <name val="TH Sarabun New"/>
      <b val="1"/>
      <color rgb="001F3864"/>
      <sz val="12"/>
    </font>
    <font>
      <name val="TH Sarabun New"/>
      <color rgb="00C00000"/>
      <sz val="9"/>
    </font>
    <font>
      <name val="TH Sarabun New"/>
      <b val="1"/>
      <color rgb="001F3864"/>
      <sz val="20"/>
    </font>
    <font>
      <name val="TH Sarabun New"/>
      <b val="1"/>
      <color rgb="001F3864"/>
      <sz val="11"/>
    </font>
    <font>
      <name val="TH Sarabun New"/>
      <b val="1"/>
      <color rgb="00595959"/>
      <sz val="20"/>
    </font>
    <font>
      <name val="TH Sarabun New"/>
      <b val="1"/>
      <color rgb="00595959"/>
      <sz val="11"/>
    </font>
    <font>
      <name val="TH Sarabun New"/>
      <b val="1"/>
      <color rgb="00548235"/>
      <sz val="20"/>
    </font>
    <font>
      <name val="TH Sarabun New"/>
      <b val="1"/>
      <color rgb="00548235"/>
      <sz val="11"/>
    </font>
    <font>
      <name val="TH Sarabun New"/>
      <b val="1"/>
      <color rgb="00C00000"/>
      <sz val="20"/>
    </font>
    <font>
      <name val="TH Sarabun New"/>
      <b val="1"/>
      <color rgb="007030A0"/>
      <sz val="20"/>
    </font>
    <font>
      <name val="TH Sarabun New"/>
      <b val="1"/>
      <color rgb="007030A0"/>
      <sz val="11"/>
    </font>
    <font>
      <name val="TH Sarabun New"/>
      <b val="1"/>
      <color rgb="007F6000"/>
      <sz val="20"/>
    </font>
    <font>
      <name val="TH Sarabun New"/>
      <b val="1"/>
      <color rgb="007F6000"/>
      <sz val="11"/>
    </font>
    <font>
      <name val="TH Sarabun New"/>
      <color rgb="00595959"/>
      <sz val="9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9DB"/>
        <bgColor rgb="00FFF9DB"/>
      </patternFill>
    </fill>
    <fill>
      <patternFill patternType="solid">
        <fgColor rgb="00EDEDED"/>
        <bgColor rgb="00EDEDED"/>
      </patternFill>
    </fill>
    <fill>
      <patternFill patternType="solid">
        <fgColor rgb="00548235"/>
        <bgColor rgb="00548235"/>
      </patternFill>
    </fill>
    <fill>
      <patternFill patternType="solid">
        <fgColor rgb="002E75B6"/>
        <bgColor rgb="002E75B6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595959"/>
        <bgColor rgb="00595959"/>
      </patternFill>
    </fill>
    <fill>
      <patternFill patternType="solid">
        <fgColor rgb="00DDEBF7"/>
        <bgColor rgb="00DDEBF7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  <fill>
      <patternFill patternType="solid">
        <fgColor rgb="00C00000"/>
        <bgColor rgb="00C00000"/>
      </patternFill>
    </fill>
    <fill>
      <patternFill patternType="solid">
        <fgColor rgb="007F6000"/>
        <bgColor rgb="007F6000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3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4" fillId="1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2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10" fillId="9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10" fillId="14" borderId="1" applyAlignment="1" pivotButton="0" quotePrefix="0" xfId="0">
      <alignment horizontal="center" vertical="center" wrapText="1"/>
    </xf>
    <xf numFmtId="0" fontId="0" fillId="14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10" fillId="15" borderId="1" applyAlignment="1" pivotButton="0" quotePrefix="0" xfId="0">
      <alignment horizontal="center" vertical="center" wrapText="1"/>
    </xf>
    <xf numFmtId="0" fontId="0" fillId="15" borderId="0" pivotButton="0" quotePrefix="0" xfId="0"/>
    <xf numFmtId="0" fontId="17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164" fontId="28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4" fontId="25" fillId="0" borderId="1" applyAlignment="1" pivotButton="0" quotePrefix="0" xfId="0">
      <alignment horizontal="center" vertical="center" wrapText="1"/>
    </xf>
    <xf numFmtId="164" fontId="27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11" fillId="10" borderId="1" applyAlignment="1" pivotButton="0" quotePrefix="0" xfId="0">
      <alignment horizontal="center" vertical="center" wrapText="1"/>
    </xf>
    <xf numFmtId="0" fontId="0" fillId="1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</cellXfs>
  <cellStyles count="1">
    <cellStyle name="Normal" xfId="0" builtinId="0" hidden="0"/>
  </cellStyles>
  <dxfs count="16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  <dxf>
      <font>
        <name val="TH Sarabun New"/>
        <b val="1"/>
      </font>
      <fill>
        <patternFill patternType="solid">
          <fgColor rgb="00F4B084"/>
          <bgColor rgb="00F4B084"/>
        </patternFill>
      </fill>
    </dxf>
    <dxf>
      <font>
        <name val="TH Sarabun New"/>
        <b val="1"/>
      </font>
      <fill>
        <patternFill patternType="solid">
          <fgColor rgb="00FFE699"/>
          <bgColor rgb="00FFE699"/>
        </patternFill>
      </fill>
    </dxf>
    <dxf>
      <font>
        <name val="TH Sarabun New"/>
        <b val="1"/>
        <color rgb="009C0006"/>
      </font>
      <fill>
        <patternFill patternType="solid">
          <fgColor rgb="00F8CBAD"/>
          <bgColor rgb="00F8CBAD"/>
        </patternFill>
      </fill>
    </dxf>
    <dxf>
      <font>
        <name val="TH Sarabun New"/>
        <b val="1"/>
        <color rgb="007F6000"/>
      </font>
      <fill>
        <patternFill patternType="solid">
          <fgColor rgb="00FFE699"/>
          <bgColor rgb="00FFE699"/>
        </patternFill>
      </fill>
    </dxf>
    <dxf>
      <font>
        <name val="TH Sarabun New"/>
        <b val="1"/>
        <color rgb="00375623"/>
      </font>
      <fill>
        <patternFill patternType="solid">
          <fgColor rgb="00C6E0B4"/>
          <bgColor rgb="00C6E0B4"/>
        </patternFill>
      </fill>
    </dxf>
    <dxf>
      <font>
        <name val="TH Sarabun New"/>
        <b val="1"/>
        <color rgb="00C00000"/>
      </font>
    </dxf>
    <dxf>
      <font>
        <name val="TH Sarabun New"/>
        <b val="1"/>
        <color rgb="007F6000"/>
      </font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EDEDED"/>
          <bgColor rgb="00EDEDED"/>
        </patternFill>
      </fill>
    </dxf>
    <dxf>
      <font>
        <name val="TH Sarabun New"/>
        <b val="1"/>
      </font>
      <fill>
        <patternFill patternType="solid">
          <fgColor rgb="00A9D18E"/>
          <bgColor rgb="00A9D18E"/>
        </patternFill>
      </fill>
    </dxf>
    <dxf>
      <font>
        <name val="TH Sarabun New"/>
        <b val="1"/>
        <color rgb="00375623"/>
      </font>
    </dxf>
    <dxf>
      <font>
        <name val="TH Sarabun New"/>
        <b val="1"/>
        <color rgb="00C55A11"/>
      </font>
    </dxf>
    <dxf>
      <font>
        <name val="TH Sarabun New"/>
        <strike val="1"/>
        <color rgb="00A6A6A6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ข้อเสนอแยกตามหน่วยงาน (จำนวนกระบวนการ)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'Dashboard'!D12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'Dashboard'!$D$13:$D$16</f>
            </numRef>
          </val>
        </ser>
        <ser>
          <idx val="1"/>
          <order val="1"/>
          <tx>
            <strRef>
              <f>'Dashboard'!E12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'Dashboard'!$E$13:$E$16</f>
            </numRef>
          </val>
        </ser>
        <ser>
          <idx val="2"/>
          <order val="2"/>
          <tx>
            <strRef>
              <f>'Dashboard'!F12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'Dashboard'!$F$13:$F$16</f>
            </numRef>
          </val>
        </ser>
        <ser>
          <idx val="3"/>
          <order val="3"/>
          <tx>
            <strRef>
              <f>'Dashboard'!G12</f>
            </strRef>
          </tx>
          <spPr>
            <a:solidFill xmlns:a="http://schemas.openxmlformats.org/drawingml/2006/main">
              <a:srgbClr val="BF900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'Dashboard'!$G$13:$G$16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สัดส่วนข้อเสนอ (ทั้งคณะ)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F9000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'Dashboard'!$D$12:$G$12</f>
            </numRef>
          </cat>
          <val>
            <numRef>
              <f>'Dashboard'!$D$17:$G$17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ระดับความเสี่ยงแยกตามหน่วยงาน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'Dashboard'!L12</f>
            </strRef>
          </tx>
          <spPr>
            <a:solidFill xmlns:a="http://schemas.openxmlformats.org/drawingml/2006/main">
              <a:srgbClr val="F4B084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'Dashboard'!$L$13:$L$16</f>
            </numRef>
          </val>
        </ser>
        <ser>
          <idx val="1"/>
          <order val="1"/>
          <tx>
            <strRef>
              <f>'Dashboard'!M12</f>
            </strRef>
          </tx>
          <spPr>
            <a:solidFill xmlns:a="http://schemas.openxmlformats.org/drawingml/2006/main">
              <a:srgbClr val="FFD966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'Dashboard'!$M$13:$M$16</f>
            </numRef>
          </val>
        </ser>
        <ser>
          <idx val="2"/>
          <order val="2"/>
          <tx>
            <strRef>
              <f>'Dashboard'!N12</f>
            </strRef>
          </tx>
          <spPr>
            <a:solidFill xmlns:a="http://schemas.openxmlformats.org/drawingml/2006/main">
              <a:srgbClr val="A9D18E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'Dashboard'!$N$13:$N$16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396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45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90" customWidth="1" min="3" max="3"/>
  </cols>
  <sheetData>
    <row r="1">
      <c r="A1" s="1" t="inlineStr">
        <is>
          <t>คู่มือการกรอกแบบสำรวจ Approval Matrix</t>
        </is>
      </c>
    </row>
    <row r="3">
      <c r="A3" s="2" t="inlineStr">
        <is>
          <t>วัตถุประสงค์</t>
        </is>
      </c>
    </row>
    <row r="4" ht="44" customHeight="1">
      <c r="A4" s="3" t="inlineStr">
        <is>
          <t>ทบทวนว่ากระบวนการใดควร คง / ตัด การกลั่นกรองผ่านเลขานุการคณะ (D2) หรือเปลี่ยนให้หน่วยงานผู้เชี่ยวชาญตรวจแทน โดยใช้ข้อมูลจริงจากหัวหน้างาน เพื่อลดขั้นตอนและ Lead Time โดยยังคงการควบคุมภายในให้สอดคล้องกับระดับความเสี่ยง</t>
        </is>
      </c>
    </row>
    <row r="6">
      <c r="A6" s="2" t="inlineStr">
        <is>
          <t>ระดับในสาย Approval</t>
        </is>
      </c>
    </row>
    <row r="7">
      <c r="A7" s="4" t="inlineStr">
        <is>
          <t>ระดับ</t>
        </is>
      </c>
      <c r="B7" s="4" t="inlineStr">
        <is>
          <t>ตำแหน่ง</t>
        </is>
      </c>
      <c r="C7" s="4" t="inlineStr">
        <is>
          <t>บทบาทหลัก</t>
        </is>
      </c>
    </row>
    <row r="8">
      <c r="A8" s="5" t="inlineStr">
        <is>
          <t>A1</t>
        </is>
      </c>
      <c r="B8" s="6" t="inlineStr">
        <is>
          <t>ผู้ปฏิบัติ</t>
        </is>
      </c>
      <c r="C8" s="6" t="inlineStr">
        <is>
          <t>เจ้าของเรื่อง จัดทำข้อมูล เอกสาร และรายละเอียดเพื่อเสนอขออนุมัติ</t>
        </is>
      </c>
    </row>
    <row r="9">
      <c r="A9" s="5" t="inlineStr">
        <is>
          <t>D1</t>
        </is>
      </c>
      <c r="B9" s="6" t="inlineStr">
        <is>
          <t>หัวหน้างาน</t>
        </is>
      </c>
      <c r="C9" s="6" t="inlineStr">
        <is>
          <t>ควบคุมงานประจำ รับรองความถูกต้องและความจำเป็นของงาน</t>
        </is>
      </c>
    </row>
    <row r="10">
      <c r="A10" s="7" t="inlineStr">
        <is>
          <t>D2</t>
        </is>
      </c>
      <c r="B10" s="8" t="inlineStr">
        <is>
          <t>เลขานุการคณะ</t>
        </is>
      </c>
      <c r="C10" s="8" t="inlineStr">
        <is>
          <t>กำกับดูแลภาพรวมสำนักงาน กลั่นกรองเรื่องที่มีความเสี่ยงหรือกระทบหลายหน่วยงาน  ◀ จุดที่สำรวจ</t>
        </is>
      </c>
    </row>
    <row r="11">
      <c r="A11" s="5" t="inlineStr">
        <is>
          <t>A2</t>
        </is>
      </c>
      <c r="B11" s="6" t="inlineStr">
        <is>
          <t>หน่วยงานเฉพาะทาง</t>
        </is>
      </c>
      <c r="C11" s="6" t="inlineStr">
        <is>
          <t>กำกับดูแลระเบียบ ข้อบังคับ มาตรฐาน หรือความถูกต้องทางวิชาชีพในเรื่องนั้นโดยเฉพาะ</t>
        </is>
      </c>
    </row>
    <row r="12">
      <c r="A12" s="5" t="inlineStr">
        <is>
          <t>D3</t>
        </is>
      </c>
      <c r="B12" s="6" t="inlineStr">
        <is>
          <t>รองคณบดี</t>
        </is>
      </c>
      <c r="C12" s="6" t="inlineStr">
        <is>
          <t>พิจารณาอนุมัติในสายงานที่กำกับดูแล</t>
        </is>
      </c>
    </row>
    <row r="13">
      <c r="A13" s="5" t="inlineStr">
        <is>
          <t>D4</t>
        </is>
      </c>
      <c r="B13" s="6" t="inlineStr">
        <is>
          <t>คณบดี</t>
        </is>
      </c>
      <c r="C13" s="6" t="inlineStr">
        <is>
          <t>อนุมัติเรื่องสำคัญของคณะ มีผลผูกพันด้านงบประมาณ นโยบาย หรือทรัพยากร</t>
        </is>
      </c>
    </row>
    <row r="14">
      <c r="A14" s="5" t="inlineStr">
        <is>
          <t>D5</t>
        </is>
      </c>
      <c r="B14" s="6" t="inlineStr">
        <is>
          <t>มหาวิทยาลัย/อธิการบดี/สภา</t>
        </is>
      </c>
      <c r="C14" s="6" t="inlineStr">
        <is>
          <t>อนุมัติเรื่องที่เกินอำนาจคณะ หรือเป็นไปตามข้อบังคับมหาวิทยาลัย</t>
        </is>
      </c>
    </row>
    <row r="16">
      <c r="A16" s="2" t="inlineStr">
        <is>
          <t>วิธีกรอก (ใช้เวลาประมาณ 30–60 นาทีต่อหน่วยงาน)</t>
        </is>
      </c>
    </row>
    <row r="17" ht="30" customHeight="1">
      <c r="A17" s="3" t="inlineStr">
        <is>
          <t>1. เปิดชีตของหน่วยงานตนเอง (ชื่อชีตขึ้นต้นด้วยเลข 1–4) — รายการกระบวนการตั้งต้น 42 รายการ ทุกงานต้องตอบครบทุกรายการ</t>
        </is>
      </c>
    </row>
    <row r="18" ht="30" customHeight="1">
      <c r="A18" s="3" t="inlineStr">
        <is>
          <t>2. กรอกช่องสีเหลืองอ่อนทีละแถว: จำนวนรายการต่อปี, ระยะเวลาเฉลี่ย (วัน), ระยะเวลาที่ D2 ใช้ (วัน)</t>
        </is>
      </c>
    </row>
    <row r="19" ht="30" customHeight="1">
      <c r="A19" s="3" t="inlineStr">
        <is>
          <t>3. ประเมินผลกระทบ 6 ด้านด้วย Yes/No และประเมินการควบคุม (มีผู้เชี่ยวชาญตรวจอยู่แล้วหรือไม่ / D2 เพิ่มคุณค่า / D2 เคยตีกลับ)</t>
        </is>
      </c>
    </row>
    <row r="20" ht="30" customHeight="1">
      <c r="A20" s="3" t="inlineStr">
        <is>
          <t>4. เลือก 'ข้อเสนอของหัวหน้างาน' — ถ้าเลือก 'เปลี่ยนเป็นหน่วยงานผู้เชี่ยวชาญ' ต้องเลือกหน่วยงานในช่องถัดไปด้วย</t>
        </is>
      </c>
    </row>
    <row r="21" ht="30" customHeight="1">
      <c r="A21" s="3" t="inlineStr">
        <is>
          <t>5. ถ้ากระบวนการใดไม่เคยเกิดขึ้นในงานของท่าน ให้ใส่จำนวนรายการต่อปีเป็น 0 (แถวจะเป็นสีเทาขีดฆ่า และไม่ถูกนับใน Dashboard) ไม่ต้องกรอกช่องอื่น</t>
        </is>
      </c>
    </row>
    <row r="22" ht="30" customHeight="1">
      <c r="A22" s="3" t="inlineStr">
        <is>
          <t>6. มีกระบวนการเพิ่มเติม: เพิ่มชื่อในแถวว่างด้านล่างของตาราง (สูตรและ Dropdown เตรียมไว้แล้ว)</t>
        </is>
      </c>
    </row>
    <row r="23" ht="30" customHeight="1">
      <c r="A23" s="3" t="inlineStr">
        <is>
          <t>7. ดูช่อง 'ธงเตือน' — ถ้ามีข้อความ แสดงว่าข้อเสนอขัดกับระดับความเสี่ยง ควรทบทวนหรือใส่เหตุผลในช่องข้อเสนอแนะ</t>
        </is>
      </c>
    </row>
    <row r="25">
      <c r="A25" s="2" t="inlineStr">
        <is>
          <t>วิธีคำนวณคะแนนความเสี่ยง (ค่าตั้งต้น ปรับได้ที่ชีต Settings)</t>
        </is>
      </c>
    </row>
    <row r="26" ht="30" customHeight="1">
      <c r="A26" s="3" t="inlineStr">
        <is>
          <t>คะแนน = 25 × [งบประมาณ=Yes] + 25 × [อัตรากำลัง=Yes] + 25 × [กฎหมาย/ระเบียบ=Yes] + 25 × [ยังไม่มีผู้เชี่ยวชาญตรวจ (=No)]</t>
        </is>
      </c>
    </row>
    <row r="27" ht="30" customHeight="1">
      <c r="A27" s="3" t="inlineStr">
        <is>
          <t>ระดับ: ต่ำ = คะแนนน้อยกว่า 50   |   ปานกลาง = 50 ถึงน้อยกว่า 75   |   สูง = ตั้งแต่ 75</t>
        </is>
      </c>
    </row>
    <row r="28" ht="30" customHeight="1">
      <c r="A28" s="3" t="inlineStr">
        <is>
          <t>ผลกระทบด้านทรัพย์สิน/พัสดุ ชื่อเสียงองค์กร และนโยบาย เก็บเป็นข้อมูลประกอบ ไม่นำมาคิดคะแนนตามที่ Template กำหนด</t>
        </is>
      </c>
    </row>
    <row r="29" ht="30" customHeight="1">
      <c r="A29" s="3" t="inlineStr">
        <is>
          <t>Dashboard ไม่นับกระบวนการที่จำนวนรายการต่อปี = 0  |  ร้อยละคิดจากกระบวนการที่ตอบ 'ข้อเสนอของหัวหน้างาน' แล้ว  |  วันทำการที่ประหยัดได้ = จำนวนรายการต่อปี × ระยะเวลาที่ D2 ใช้ (เฉพาะแถวที่เสนอตัด D2)</t>
        </is>
      </c>
    </row>
    <row r="31">
      <c r="A31" s="2" t="inlineStr">
        <is>
          <t>สีที่ใช้</t>
        </is>
      </c>
    </row>
    <row r="32">
      <c r="A32" s="9" t="inlineStr"/>
      <c r="B32" s="6" t="inlineStr">
        <is>
          <t>ช่องที่ต้องกรอก</t>
        </is>
      </c>
    </row>
    <row r="33">
      <c r="A33" s="10" t="inlineStr"/>
      <c r="B33" s="6" t="inlineStr">
        <is>
          <t>สูตรอัตโนมัติ / ข้อมูลตั้งต้น (ห้ามแก้)</t>
        </is>
      </c>
    </row>
  </sheetData>
  <mergeCells count="12">
    <mergeCell ref="A28:C28"/>
    <mergeCell ref="A19:C19"/>
    <mergeCell ref="A23:C23"/>
    <mergeCell ref="A22:C22"/>
    <mergeCell ref="A17:C17"/>
    <mergeCell ref="A18:C18"/>
    <mergeCell ref="A27:C27"/>
    <mergeCell ref="A21:C21"/>
    <mergeCell ref="A26:C26"/>
    <mergeCell ref="A4:C4"/>
    <mergeCell ref="A20:C20"/>
    <mergeCell ref="A29:C2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Q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Dashboard สรุปผลสำรวจ Approval Matrix (Risk-Based Approval)</t>
        </is>
      </c>
    </row>
    <row r="2">
      <c r="A2" s="11" t="inlineStr">
        <is>
          <t>สรุปอัตโนมัติจากชีตของหัวหน้างานทั้ง 4 งาน — ไม่นับกระบวนการที่ไม่เคยทำ (จำนวนรายการ = 0) และร้อยละคิดจากกระบวนการที่ตอบข้อเสนอแล้ว</t>
        </is>
      </c>
    </row>
    <row r="3" ht="30" customHeight="1">
      <c r="A3" s="12" t="inlineStr">
        <is>
          <t>⚠ หมายเหตุสำคัญ: ตัวเลข 'ระยะเวลาดำเนินการเฉลี่ย' / 'ระยะเวลาที่ D2 ใช้' และ 'วันทำการที่ประหยัดได้' เป็นค่าประมาณจากความทรงจำของหัวหน้างานแต่ละคน ไม่ใช่ข้อมูลที่ดึงจากระบบ eDoc จริง — ใช้ประกอบการพิจารณาทิศทาง (เช่น กระบวนการไหนน่าจะช้า) ไม่ควรใช้เป็นตัวเลขทางการที่แม่นยำ 100% ในการรายงานผู้บริหาร</t>
        </is>
      </c>
    </row>
    <row r="4">
      <c r="A4" s="13" t="inlineStr">
        <is>
          <t>เลือกหน่วยงานที่ต้องการดู ▶</t>
        </is>
      </c>
      <c r="B4" s="14" t="inlineStr">
        <is>
          <t>ทั้งคณะ</t>
        </is>
      </c>
      <c r="C4" s="15" t="n"/>
      <c r="D4" s="15" t="n"/>
    </row>
    <row r="6">
      <c r="A6" s="2" t="inlineStr">
        <is>
          <t>ภาพรวม</t>
        </is>
      </c>
    </row>
    <row r="7">
      <c r="B7" s="16" t="inlineStr">
        <is>
          <t>กระบวนการทั้งหมด</t>
        </is>
      </c>
      <c r="C7" s="17" t="n"/>
      <c r="D7" s="18" t="inlineStr">
        <is>
          <t>ตอบข้อเสนอแล้ว</t>
        </is>
      </c>
      <c r="E7" s="19" t="n"/>
      <c r="F7" s="20" t="inlineStr">
        <is>
          <t>เสนอให้ คง D2</t>
        </is>
      </c>
      <c r="G7" s="21" t="n"/>
      <c r="H7" s="22" t="inlineStr">
        <is>
          <t>เสนอให้ ตัด D2</t>
        </is>
      </c>
      <c r="I7" s="23" t="n"/>
      <c r="J7" s="24" t="inlineStr">
        <is>
          <t>เสนอให้เปลี่ยนเป็นผู้เชี่ยวชาญ</t>
        </is>
      </c>
      <c r="K7" s="25" t="n"/>
      <c r="L7" s="26" t="inlineStr">
        <is>
          <t>ขอหารือเพิ่มเติม</t>
        </is>
      </c>
      <c r="M7" s="27" t="n"/>
    </row>
    <row r="8" ht="34" customHeight="1">
      <c r="B8" s="28">
        <f>INDEX($B$13:$B$17,MATCH($B$4,$A$13:$A$17,0))</f>
        <v/>
      </c>
      <c r="D8" s="29">
        <f>INDEX($C$13:$C$17,MATCH($B$4,$A$13:$A$17,0))</f>
        <v/>
      </c>
      <c r="F8" s="30">
        <f>INDEX($D$13:$D$17,MATCH($B$4,$A$13:$A$17,0))</f>
        <v/>
      </c>
      <c r="H8" s="31">
        <f>INDEX($E$13:$E$17,MATCH($B$4,$A$13:$A$17,0))</f>
        <v/>
      </c>
      <c r="J8" s="32">
        <f>INDEX($F$13:$F$17,MATCH($B$4,$A$13:$A$17,0))</f>
        <v/>
      </c>
      <c r="L8" s="33">
        <f>INDEX($G$13:$G$17,MATCH($B$4,$A$13:$A$17,0))</f>
        <v/>
      </c>
    </row>
    <row r="9">
      <c r="B9" s="34">
        <f>"หน่วยงาน: "&amp;$B$4</f>
        <v/>
      </c>
      <c r="D9" s="35">
        <f>IF(INDEX($B$13:$B$17,MATCH($B$4,$A$13:$A$17,0))=0,"",INDEX($C$13:$C$17,MATCH($B$4,$A$13:$A$17,0))/INDEX($B$13:$B$17,MATCH($B$4,$A$13:$A$17,0)))</f>
        <v/>
      </c>
      <c r="F9" s="36">
        <f>INDEX($H$13:$H$17,MATCH($B$4,$A$13:$A$17,0))</f>
        <v/>
      </c>
      <c r="H9" s="37">
        <f>INDEX($I$13:$I$17,MATCH($B$4,$A$13:$A$17,0))</f>
        <v/>
      </c>
      <c r="J9" s="38">
        <f>INDEX($J$13:$J$17,MATCH($B$4,$A$13:$A$17,0))</f>
        <v/>
      </c>
      <c r="L9" s="39">
        <f>INDEX($K$13:$K$17,MATCH($B$4,$A$13:$A$17,0))</f>
        <v/>
      </c>
    </row>
    <row r="10">
      <c r="A10" s="40">
        <f>"หมายเหตุ: ไม่นับกระบวนการที่ไม่เคยทำ (จำนวนรายการต่อปี = 0) รวม "&amp;(COUNTIFS('1_บริหารทั่วไป'!$C$7:$C$91,"?*",'1_บริหารทั่วไป'!$D$7:$D$91,0)+COUNTIFS('2_ยุทธศาสตร์และแผน'!$C$7:$C$91,"?*",'2_ยุทธศาสตร์และแผน'!$D$7:$D$91,0)+COUNTIFS('3_วิจัยและบริการวิชาการ'!$C$7:$C$91,"?*",'3_วิจัยและบริการวิชาการ'!$D$7:$D$91,0)+COUNTIFS('4_การศึกษาและนักศึกษา'!$C$7:$C$91,"?*",'4_การศึกษาและนักศึกษา'!$D$7:$D$91,0))&amp;" รายการ"</f>
        <v/>
      </c>
    </row>
    <row r="11">
      <c r="A11" s="2" t="inlineStr">
        <is>
          <t>ตารางสรุปแยกตามหน่วยงาน</t>
        </is>
      </c>
    </row>
    <row r="12" ht="40" customHeight="1">
      <c r="A12" s="16" t="inlineStr">
        <is>
          <t>หน่วยงาน</t>
        </is>
      </c>
      <c r="B12" s="16" t="inlineStr">
        <is>
          <t>กระบวนการ
ทั้งหมด</t>
        </is>
      </c>
      <c r="C12" s="16" t="inlineStr">
        <is>
          <t>ตอบข้อเสนอ
แล้ว</t>
        </is>
      </c>
      <c r="D12" s="16" t="inlineStr">
        <is>
          <t>คง D2</t>
        </is>
      </c>
      <c r="E12" s="16" t="inlineStr">
        <is>
          <t>ตัด D2</t>
        </is>
      </c>
      <c r="F12" s="16" t="inlineStr">
        <is>
          <t>เปลี่ยนเป็น
ผู้เชี่ยวชาญ</t>
        </is>
      </c>
      <c r="G12" s="16" t="inlineStr">
        <is>
          <t>ขอหารือ
เพิ่มเติม</t>
        </is>
      </c>
      <c r="H12" s="16" t="inlineStr">
        <is>
          <t>% คง D2</t>
        </is>
      </c>
      <c r="I12" s="16" t="inlineStr">
        <is>
          <t>% ตัด D2</t>
        </is>
      </c>
      <c r="J12" s="16" t="inlineStr">
        <is>
          <t>% เปลี่ยน</t>
        </is>
      </c>
      <c r="K12" s="16" t="inlineStr">
        <is>
          <t>% ขอหารือ</t>
        </is>
      </c>
      <c r="L12" s="16" t="inlineStr">
        <is>
          <t>เสี่ยงสูง</t>
        </is>
      </c>
      <c r="M12" s="16" t="inlineStr">
        <is>
          <t>เสี่ยงปานกลาง</t>
        </is>
      </c>
      <c r="N12" s="16" t="inlineStr">
        <is>
          <t>เสี่ยงต่ำ</t>
        </is>
      </c>
      <c r="O12" s="16" t="inlineStr">
        <is>
          <t>ธงเตือน</t>
        </is>
      </c>
      <c r="P12" s="16" t="inlineStr">
        <is>
          <t>วันทำการที่
ประหยัดได้/ปี</t>
        </is>
      </c>
      <c r="Q12" s="16" t="inlineStr">
        <is>
          <t>กรอกครบ
(กระบวนการ)</t>
        </is>
      </c>
    </row>
    <row r="13">
      <c r="A13" s="41" t="inlineStr">
        <is>
          <t>งานบริหารทั่วไป</t>
        </is>
      </c>
      <c r="B13" s="42">
        <f>COUNTIFS('1_บริหารทั่วไป'!$C$7:$C$91,"?*",'1_บริหารทั่วไป'!$D$7:$D$91,"&lt;&gt;0")</f>
        <v/>
      </c>
      <c r="C13" s="42">
        <f>COUNTIFS('1_บริหารทั่วไป'!$C$7:$C$91,"?*",'1_บริหารทั่วไป'!$P$7:$P$91,"?*",'1_บริหารทั่วไป'!$D$7:$D$91,"&lt;&gt;0")</f>
        <v/>
      </c>
      <c r="D13" s="42">
        <f>COUNTIFS('1_บริหารทั่วไป'!$P$7:$P$91,"คง D2",'1_บริหารทั่วไป'!$D$7:$D$91,"&lt;&gt;0")</f>
        <v/>
      </c>
      <c r="E13" s="42">
        <f>COUNTIFS('1_บริหารทั่วไป'!$P$7:$P$91,"ตัด D2",'1_บริหารทั่วไป'!$D$7:$D$91,"&lt;&gt;0")</f>
        <v/>
      </c>
      <c r="F13" s="42">
        <f>COUNTIFS('1_บริหารทั่วไป'!$P$7:$P$91,"เปลี่ยนเป็นหน่วยงานผู้เชี่ยวชาญ",'1_บริหารทั่วไป'!$D$7:$D$91,"&lt;&gt;0")</f>
        <v/>
      </c>
      <c r="G13" s="42">
        <f>COUNTIFS('1_บริหารทั่วไป'!$P$7:$P$91,"ขอหารือเพิ่มเติม",'1_บริหารทั่วไป'!$D$7:$D$91,"&lt;&gt;0")</f>
        <v/>
      </c>
      <c r="H13" s="43">
        <f>IF($C13=0,"",D13/$C13)</f>
        <v/>
      </c>
      <c r="I13" s="43">
        <f>IF($C13=0,"",E13/$C13)</f>
        <v/>
      </c>
      <c r="J13" s="43">
        <f>IF($C13=0,"",F13/$C13)</f>
        <v/>
      </c>
      <c r="K13" s="43">
        <f>IF($C13=0,"",G13/$C13)</f>
        <v/>
      </c>
      <c r="L13" s="42">
        <f>COUNTIFS('1_บริหารทั่วไป'!$S$7:$S$91,"สูง",'1_บริหารทั่วไป'!$D$7:$D$91,"&lt;&gt;0")</f>
        <v/>
      </c>
      <c r="M13" s="42">
        <f>COUNTIFS('1_บริหารทั่วไป'!$S$7:$S$91,"ปานกลาง",'1_บริหารทั่วไป'!$D$7:$D$91,"&lt;&gt;0")</f>
        <v/>
      </c>
      <c r="N13" s="42">
        <f>COUNTIFS('1_บริหารทั่วไป'!$S$7:$S$91,"ต่ำ",'1_บริหารทั่วไป'!$D$7:$D$91,"&lt;&gt;0")</f>
        <v/>
      </c>
      <c r="O13" s="42">
        <f>COUNTIFS('1_บริหารทั่วไป'!$T$7:$T$91,"?*",'1_บริหารทั่วไป'!$D$7:$D$91,"&lt;&gt;0")</f>
        <v/>
      </c>
      <c r="P13" s="44">
        <f>SUMIFS('1_บริหารทั่วไป'!$U$7:$U$91,'1_บริหารทั่วไป'!$D$7:$D$91,"&lt;&gt;0")</f>
        <v/>
      </c>
      <c r="Q13" s="42">
        <f>COUNTIF('1_บริหารทั่วไป'!$W$7:$W$91,"✔ ครบ")</f>
        <v/>
      </c>
    </row>
    <row r="14">
      <c r="A14" s="41" t="inlineStr">
        <is>
          <t>งานยุทธศาสตร์และแผน</t>
        </is>
      </c>
      <c r="B14" s="42">
        <f>COUNTIFS('2_ยุทธศาสตร์และแผน'!$C$7:$C$91,"?*",'2_ยุทธศาสตร์และแผน'!$D$7:$D$91,"&lt;&gt;0")</f>
        <v/>
      </c>
      <c r="C14" s="42">
        <f>COUNTIFS('2_ยุทธศาสตร์และแผน'!$C$7:$C$91,"?*",'2_ยุทธศาสตร์และแผน'!$P$7:$P$91,"?*",'2_ยุทธศาสตร์และแผน'!$D$7:$D$91,"&lt;&gt;0")</f>
        <v/>
      </c>
      <c r="D14" s="42">
        <f>COUNTIFS('2_ยุทธศาสตร์และแผน'!$P$7:$P$91,"คง D2",'2_ยุทธศาสตร์และแผน'!$D$7:$D$91,"&lt;&gt;0")</f>
        <v/>
      </c>
      <c r="E14" s="42">
        <f>COUNTIFS('2_ยุทธศาสตร์และแผน'!$P$7:$P$91,"ตัด D2",'2_ยุทธศาสตร์และแผน'!$D$7:$D$91,"&lt;&gt;0")</f>
        <v/>
      </c>
      <c r="F14" s="42">
        <f>COUNTIFS('2_ยุทธศาสตร์และแผน'!$P$7:$P$91,"เปลี่ยนเป็นหน่วยงานผู้เชี่ยวชาญ",'2_ยุทธศาสตร์และแผน'!$D$7:$D$91,"&lt;&gt;0")</f>
        <v/>
      </c>
      <c r="G14" s="42">
        <f>COUNTIFS('2_ยุทธศาสตร์และแผน'!$P$7:$P$91,"ขอหารือเพิ่มเติม",'2_ยุทธศาสตร์และแผน'!$D$7:$D$91,"&lt;&gt;0")</f>
        <v/>
      </c>
      <c r="H14" s="43">
        <f>IF($C14=0,"",D14/$C14)</f>
        <v/>
      </c>
      <c r="I14" s="43">
        <f>IF($C14=0,"",E14/$C14)</f>
        <v/>
      </c>
      <c r="J14" s="43">
        <f>IF($C14=0,"",F14/$C14)</f>
        <v/>
      </c>
      <c r="K14" s="43">
        <f>IF($C14=0,"",G14/$C14)</f>
        <v/>
      </c>
      <c r="L14" s="42">
        <f>COUNTIFS('2_ยุทธศาสตร์และแผน'!$S$7:$S$91,"สูง",'2_ยุทธศาสตร์และแผน'!$D$7:$D$91,"&lt;&gt;0")</f>
        <v/>
      </c>
      <c r="M14" s="42">
        <f>COUNTIFS('2_ยุทธศาสตร์และแผน'!$S$7:$S$91,"ปานกลาง",'2_ยุทธศาสตร์และแผน'!$D$7:$D$91,"&lt;&gt;0")</f>
        <v/>
      </c>
      <c r="N14" s="42">
        <f>COUNTIFS('2_ยุทธศาสตร์และแผน'!$S$7:$S$91,"ต่ำ",'2_ยุทธศาสตร์และแผน'!$D$7:$D$91,"&lt;&gt;0")</f>
        <v/>
      </c>
      <c r="O14" s="42">
        <f>COUNTIFS('2_ยุทธศาสตร์และแผน'!$T$7:$T$91,"?*",'2_ยุทธศาสตร์และแผน'!$D$7:$D$91,"&lt;&gt;0")</f>
        <v/>
      </c>
      <c r="P14" s="44">
        <f>SUMIFS('2_ยุทธศาสตร์และแผน'!$U$7:$U$91,'2_ยุทธศาสตร์และแผน'!$D$7:$D$91,"&lt;&gt;0")</f>
        <v/>
      </c>
      <c r="Q14" s="42">
        <f>COUNTIF('2_ยุทธศาสตร์และแผน'!$W$7:$W$91,"✔ ครบ")</f>
        <v/>
      </c>
    </row>
    <row r="15">
      <c r="A15" s="41" t="inlineStr">
        <is>
          <t>งานบริหารงานวิจัยและบริการวิชาการ</t>
        </is>
      </c>
      <c r="B15" s="42">
        <f>COUNTIFS('3_วิจัยและบริการวิชาการ'!$C$7:$C$91,"?*",'3_วิจัยและบริการวิชาการ'!$D$7:$D$91,"&lt;&gt;0")</f>
        <v/>
      </c>
      <c r="C15" s="42">
        <f>COUNTIFS('3_วิจัยและบริการวิชาการ'!$C$7:$C$91,"?*",'3_วิจัยและบริการวิชาการ'!$P$7:$P$91,"?*",'3_วิจัยและบริการวิชาการ'!$D$7:$D$91,"&lt;&gt;0")</f>
        <v/>
      </c>
      <c r="D15" s="42">
        <f>COUNTIFS('3_วิจัยและบริการวิชาการ'!$P$7:$P$91,"คง D2",'3_วิจัยและบริการวิชาการ'!$D$7:$D$91,"&lt;&gt;0")</f>
        <v/>
      </c>
      <c r="E15" s="42">
        <f>COUNTIFS('3_วิจัยและบริการวิชาการ'!$P$7:$P$91,"ตัด D2",'3_วิจัยและบริการวิชาการ'!$D$7:$D$91,"&lt;&gt;0")</f>
        <v/>
      </c>
      <c r="F15" s="42">
        <f>COUNTIFS('3_วิจัยและบริการวิชาการ'!$P$7:$P$91,"เปลี่ยนเป็นหน่วยงานผู้เชี่ยวชาญ",'3_วิจัยและบริการวิชาการ'!$D$7:$D$91,"&lt;&gt;0")</f>
        <v/>
      </c>
      <c r="G15" s="42">
        <f>COUNTIFS('3_วิจัยและบริการวิชาการ'!$P$7:$P$91,"ขอหารือเพิ่มเติม",'3_วิจัยและบริการวิชาการ'!$D$7:$D$91,"&lt;&gt;0")</f>
        <v/>
      </c>
      <c r="H15" s="43">
        <f>IF($C15=0,"",D15/$C15)</f>
        <v/>
      </c>
      <c r="I15" s="43">
        <f>IF($C15=0,"",E15/$C15)</f>
        <v/>
      </c>
      <c r="J15" s="43">
        <f>IF($C15=0,"",F15/$C15)</f>
        <v/>
      </c>
      <c r="K15" s="43">
        <f>IF($C15=0,"",G15/$C15)</f>
        <v/>
      </c>
      <c r="L15" s="42">
        <f>COUNTIFS('3_วิจัยและบริการวิชาการ'!$S$7:$S$91,"สูง",'3_วิจัยและบริการวิชาการ'!$D$7:$D$91,"&lt;&gt;0")</f>
        <v/>
      </c>
      <c r="M15" s="42">
        <f>COUNTIFS('3_วิจัยและบริการวิชาการ'!$S$7:$S$91,"ปานกลาง",'3_วิจัยและบริการวิชาการ'!$D$7:$D$91,"&lt;&gt;0")</f>
        <v/>
      </c>
      <c r="N15" s="42">
        <f>COUNTIFS('3_วิจัยและบริการวิชาการ'!$S$7:$S$91,"ต่ำ",'3_วิจัยและบริการวิชาการ'!$D$7:$D$91,"&lt;&gt;0")</f>
        <v/>
      </c>
      <c r="O15" s="42">
        <f>COUNTIFS('3_วิจัยและบริการวิชาการ'!$T$7:$T$91,"?*",'3_วิจัยและบริการวิชาการ'!$D$7:$D$91,"&lt;&gt;0")</f>
        <v/>
      </c>
      <c r="P15" s="44">
        <f>SUMIFS('3_วิจัยและบริการวิชาการ'!$U$7:$U$91,'3_วิจัยและบริการวิชาการ'!$D$7:$D$91,"&lt;&gt;0")</f>
        <v/>
      </c>
      <c r="Q15" s="42">
        <f>COUNTIF('3_วิจัยและบริการวิชาการ'!$W$7:$W$91,"✔ ครบ")</f>
        <v/>
      </c>
    </row>
    <row r="16">
      <c r="A16" s="41" t="inlineStr">
        <is>
          <t>งานบริการการศึกษาและพัฒนาคุณภาพนักศึกษา</t>
        </is>
      </c>
      <c r="B16" s="42">
        <f>COUNTIFS('4_การศึกษาและนักศึกษา'!$C$7:$C$91,"?*",'4_การศึกษาและนักศึกษา'!$D$7:$D$91,"&lt;&gt;0")</f>
        <v/>
      </c>
      <c r="C16" s="42">
        <f>COUNTIFS('4_การศึกษาและนักศึกษา'!$C$7:$C$91,"?*",'4_การศึกษาและนักศึกษา'!$P$7:$P$91,"?*",'4_การศึกษาและนักศึกษา'!$D$7:$D$91,"&lt;&gt;0")</f>
        <v/>
      </c>
      <c r="D16" s="42">
        <f>COUNTIFS('4_การศึกษาและนักศึกษา'!$P$7:$P$91,"คง D2",'4_การศึกษาและนักศึกษา'!$D$7:$D$91,"&lt;&gt;0")</f>
        <v/>
      </c>
      <c r="E16" s="42">
        <f>COUNTIFS('4_การศึกษาและนักศึกษา'!$P$7:$P$91,"ตัด D2",'4_การศึกษาและนักศึกษา'!$D$7:$D$91,"&lt;&gt;0")</f>
        <v/>
      </c>
      <c r="F16" s="42">
        <f>COUNTIFS('4_การศึกษาและนักศึกษา'!$P$7:$P$91,"เปลี่ยนเป็นหน่วยงานผู้เชี่ยวชาญ",'4_การศึกษาและนักศึกษา'!$D$7:$D$91,"&lt;&gt;0")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G16" s="42">
        <f>COUNTIFS('4_การศึกษาและนักศึกษา'!$P$7:$P$91,"ขอหารือเพิ่มเติม",'4_การศึกษาและนักศึกษา'!$D$7:$D$91,"&lt;&gt;0")</f>
        <v/>
      </c>
      <c r="H16" s="43">
        <f>IF($C16=0,"",D16/$C16)</f>
        <v/>
      </c>
      <c r="I16" s="43">
        <f>IF($C16=0,"",E16/$C16)</f>
        <v/>
      </c>
      <c r="J16" s="43">
        <f>IF($C16=0,"",F16/$C16)</f>
        <v/>
      </c>
      <c r="K16" s="43">
        <f>IF($C16=0,"",G16/$C16)</f>
        <v/>
      </c>
      <c r="L16" s="42">
        <f>COUNTIFS('4_การศึกษาและนักศึกษา'!$S$7:$S$91,"สูง",'4_การศึกษาและนักศึกษา'!$D$7:$D$91,"&lt;&gt;0")</f>
        <v/>
      </c>
      <c r="M16" s="42">
        <f>COUNTIFS('4_การศึกษาและนักศึกษา'!$S$7:$S$91,"ปานกลาง",'4_การศึกษาและนักศึกษา'!$D$7:$D$91,"&lt;&gt;0")</f>
        <v/>
      </c>
      <c r="N16" s="42">
        <f>COUNTIFS('4_การศึกษาและนักศึกษา'!$S$7:$S$91,"ต่ำ",'4_การศึกษาและนักศึกษา'!$D$7:$D$91,"&lt;&gt;0")</f>
        <v/>
      </c>
      <c r="O16" s="42">
        <f>COUNTIFS('4_การศึกษาและนักศึกษา'!$T$7:$T$91,"?*",'4_การศึกษาและนักศึกษา'!$D$7:$D$91,"&lt;&gt;0")</f>
        <v/>
      </c>
      <c r="P16" s="44">
        <f>SUMIFS('4_การศึกษาและนักศึกษา'!$U$7:$U$91,'4_การศึกษาและนักศึกษา'!$D$7:$D$91,"&lt;&gt;0")</f>
        <v/>
      </c>
      <c r="Q16" s="42">
        <f>COUNTIF('4_การศึกษาและนักศึกษา'!$W$7:$W$91,"✔ ครบ")</f>
        <v/>
      </c>
    </row>
    <row r="17">
      <c r="A17" s="45" t="inlineStr">
        <is>
          <t>ทั้งคณะ</t>
        </is>
      </c>
      <c r="B17" s="46">
        <f>SUM(B13:B16)</f>
        <v/>
      </c>
      <c r="C17" s="46">
        <f>SUM(C13:C16)</f>
        <v/>
      </c>
      <c r="D17" s="46">
        <f>SUM(D13:D16)</f>
        <v/>
      </c>
      <c r="E17" s="46">
        <f>SUM(E13:E16)</f>
        <v/>
      </c>
      <c r="F17" s="46">
        <f>SUM(F13:F16)</f>
        <v/>
      </c>
      <c r="G17" s="46">
        <f>SUM(G13:G16)</f>
        <v/>
      </c>
      <c r="H17" s="47">
        <f>IF($C17=0,"",D17/$C17)</f>
        <v/>
      </c>
      <c r="I17" s="47">
        <f>IF($C17=0,"",E17/$C17)</f>
        <v/>
      </c>
      <c r="J17" s="47">
        <f>IF($C17=0,"",F17/$C17)</f>
        <v/>
      </c>
      <c r="K17" s="47">
        <f>IF($C17=0,"",G17/$C17)</f>
        <v/>
      </c>
      <c r="L17" s="46">
        <f>SUM(L13:L16)</f>
        <v/>
      </c>
      <c r="M17" s="46">
        <f>SUM(M13:M16)</f>
        <v/>
      </c>
      <c r="N17" s="46">
        <f>SUM(N13:N16)</f>
        <v/>
      </c>
      <c r="O17" s="46">
        <f>SUM(O13:O16)</f>
        <v/>
      </c>
      <c r="P17" s="48">
        <f>SUM(P13:P16)</f>
        <v/>
      </c>
      <c r="Q17" s="46">
        <f>SUM(Q13:Q16)</f>
        <v/>
      </c>
    </row>
    <row r="19">
      <c r="A19" s="2" t="inlineStr">
        <is>
          <t>ความเสี่ยง × ข้อเสนอ (ทั้งคณะ) — ใช้ดูว่าข้อเสนอสอดคล้องกับระดับความเสี่ยงหรือไม่</t>
        </is>
      </c>
    </row>
    <row r="20" ht="32" customHeight="1">
      <c r="A20" s="16" t="inlineStr">
        <is>
          <t>ระดับความเสี่ยง \ ข้อเสนอ</t>
        </is>
      </c>
      <c r="B20" s="16" t="inlineStr">
        <is>
          <t>คง D2</t>
        </is>
      </c>
      <c r="C20" s="16" t="inlineStr">
        <is>
          <t>ตัด D2</t>
        </is>
      </c>
      <c r="D20" s="16" t="inlineStr">
        <is>
          <t>เปลี่ยนเป็น
ผู้เชี่ยวชาญ</t>
        </is>
      </c>
      <c r="E20" s="16" t="inlineStr">
        <is>
          <t>ขอหารือ
เพิ่มเติม</t>
        </is>
      </c>
      <c r="F20" s="16" t="inlineStr">
        <is>
          <t>รวม</t>
        </is>
      </c>
    </row>
    <row r="21">
      <c r="A21" s="41" t="inlineStr">
        <is>
          <t>สูง</t>
        </is>
      </c>
      <c r="B21" s="42">
        <f>COUNTIFS('1_บริหารทั่วไป'!$S$7:$S$91,"สูง",'1_บริหารทั่วไป'!$P$7:$P$91,"คง D2",'1_บริหารทั่วไป'!$D$7:$D$91,"&lt;&gt;0")+COUNTIFS('2_ยุทธศาสตร์และแผน'!$S$7:$S$91,"สูง",'2_ยุทธศาสตร์และแผน'!$P$7:$P$91,"คง D2",'2_ยุทธศาสตร์และแผน'!$D$7:$D$91,"&lt;&gt;0")+COUNTIFS('3_วิจัยและบริการวิชาการ'!$S$7:$S$91,"สูง",'3_วิจัยและบริการวิชาการ'!$P$7:$P$91,"คง D2",'3_วิจัยและบริการวิชาการ'!$D$7:$D$91,"&lt;&gt;0")+COUNTIFS('4_การศึกษาและนักศึกษา'!$S$7:$S$91,"สูง",'4_การศึกษาและนักศึกษา'!$P$7:$P$91,"คง D2",'4_การศึกษาและนักศึกษา'!$D$7:$D$91,"&lt;&gt;0")</f>
        <v/>
      </c>
      <c r="C21" s="42">
        <f>COUNTIFS('1_บริหารทั่วไป'!$S$7:$S$91,"สูง",'1_บริหารทั่วไป'!$P$7:$P$91,"ตัด D2",'1_บริหารทั่วไป'!$D$7:$D$91,"&lt;&gt;0")+COUNTIFS('2_ยุทธศาสตร์และแผน'!$S$7:$S$91,"สูง",'2_ยุทธศาสตร์และแผน'!$P$7:$P$91,"ตัด D2",'2_ยุทธศาสตร์และแผน'!$D$7:$D$91,"&lt;&gt;0")+COUNTIFS('3_วิจัยและบริการวิชาการ'!$S$7:$S$91,"สูง",'3_วิจัยและบริการวิชาการ'!$P$7:$P$91,"ตัด D2",'3_วิจัยและบริการวิชาการ'!$D$7:$D$91,"&lt;&gt;0")+COUNTIFS('4_การศึกษาและนักศึกษา'!$S$7:$S$91,"สูง",'4_การศึกษาและนักศึกษา'!$P$7:$P$91,"ตัด D2",'4_การศึกษาและนักศึกษา'!$D$7:$D$91,"&lt;&gt;0")</f>
        <v/>
      </c>
      <c r="D21" s="42">
        <f>COUNTIFS('1_บริหารทั่วไป'!$S$7:$S$91,"สูง",'1_บริหารทั่วไป'!$P$7:$P$91,"เปลี่ยนเป็นหน่วยงานผู้เชี่ยวชาญ",'1_บริหารทั่วไป'!$D$7:$D$91,"&lt;&gt;0")+COUNTIFS('2_ยุทธศาสตร์และแผน'!$S$7:$S$91,"สูง",'2_ยุทธศาสตร์และแผน'!$P$7:$P$91,"เปลี่ยนเป็นหน่วยงานผู้เชี่ยวชาญ",'2_ยุทธศาสตร์และแผน'!$D$7:$D$91,"&lt;&gt;0")+COUNTIFS('3_วิจัยและบริการวิชาการ'!$S$7:$S$91,"สูง",'3_วิจัยและบริการวิชาการ'!$P$7:$P$91,"เปลี่ยนเป็นหน่วยงานผู้เชี่ยวชาญ",'3_วิจัยและบริการวิชาการ'!$D$7:$D$91,"&lt;&gt;0")+COUNTIFS('4_การศึกษาและนักศึกษา'!$S$7:$S$91,"สูง",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E21" s="42">
        <f>COUNTIFS('1_บริหารทั่วไป'!$S$7:$S$91,"สูง",'1_บริหารทั่วไป'!$P$7:$P$91,"ขอหารือเพิ่มเติม",'1_บริหารทั่วไป'!$D$7:$D$91,"&lt;&gt;0")+COUNTIFS('2_ยุทธศาสตร์และแผน'!$S$7:$S$91,"สูง",'2_ยุทธศาสตร์และแผน'!$P$7:$P$91,"ขอหารือเพิ่มเติม",'2_ยุทธศาสตร์และแผน'!$D$7:$D$91,"&lt;&gt;0")+COUNTIFS('3_วิจัยและบริการวิชาการ'!$S$7:$S$91,"สูง",'3_วิจัยและบริการวิชาการ'!$P$7:$P$91,"ขอหารือเพิ่มเติม",'3_วิจัยและบริการวิชาการ'!$D$7:$D$91,"&lt;&gt;0")+COUNTIFS('4_การศึกษาและนักศึกษา'!$S$7:$S$91,"สูง",'4_การศึกษาและนักศึกษา'!$P$7:$P$91,"ขอหารือเพิ่มเติม",'4_การศึกษาและนักศึกษา'!$D$7:$D$91,"&lt;&gt;0")</f>
        <v/>
      </c>
      <c r="F21" s="49">
        <f>SUM(B21:E21)</f>
        <v/>
      </c>
    </row>
    <row r="22">
      <c r="A22" s="41" t="inlineStr">
        <is>
          <t>ปานกลาง</t>
        </is>
      </c>
      <c r="B22" s="42">
        <f>COUNTIFS('1_บริหารทั่วไป'!$S$7:$S$91,"ปานกลาง",'1_บริหารทั่วไป'!$P$7:$P$91,"คง D2",'1_บริหารทั่วไป'!$D$7:$D$91,"&lt;&gt;0")+COUNTIFS('2_ยุทธศาสตร์และแผน'!$S$7:$S$91,"ปานกลาง",'2_ยุทธศาสตร์และแผน'!$P$7:$P$91,"คง D2",'2_ยุทธศาสตร์และแผน'!$D$7:$D$91,"&lt;&gt;0")+COUNTIFS('3_วิจัยและบริการวิชาการ'!$S$7:$S$91,"ปานกลาง",'3_วิจัยและบริการวิชาการ'!$P$7:$P$91,"คง D2",'3_วิจัยและบริการวิชาการ'!$D$7:$D$91,"&lt;&gt;0")+COUNTIFS('4_การศึกษาและนักศึกษา'!$S$7:$S$91,"ปานกลาง",'4_การศึกษาและนักศึกษา'!$P$7:$P$91,"คง D2",'4_การศึกษาและนักศึกษา'!$D$7:$D$91,"&lt;&gt;0")</f>
        <v/>
      </c>
      <c r="C22" s="42">
        <f>COUNTIFS('1_บริหารทั่วไป'!$S$7:$S$91,"ปานกลาง",'1_บริหารทั่วไป'!$P$7:$P$91,"ตัด D2",'1_บริหารทั่วไป'!$D$7:$D$91,"&lt;&gt;0")+COUNTIFS('2_ยุทธศาสตร์และแผน'!$S$7:$S$91,"ปานกลาง",'2_ยุทธศาสตร์และแผน'!$P$7:$P$91,"ตัด D2",'2_ยุทธศาสตร์และแผน'!$D$7:$D$91,"&lt;&gt;0")+COUNTIFS('3_วิจัยและบริการวิชาการ'!$S$7:$S$91,"ปานกลาง",'3_วิจัยและบริการวิชาการ'!$P$7:$P$91,"ตัด D2",'3_วิจัยและบริการวิชาการ'!$D$7:$D$91,"&lt;&gt;0")+COUNTIFS('4_การศึกษาและนักศึกษา'!$S$7:$S$91,"ปานกลาง",'4_การศึกษาและนักศึกษา'!$P$7:$P$91,"ตัด D2",'4_การศึกษาและนักศึกษา'!$D$7:$D$91,"&lt;&gt;0")</f>
        <v/>
      </c>
      <c r="D22" s="42">
        <f>COUNTIFS('1_บริหารทั่วไป'!$S$7:$S$91,"ปานกลาง",'1_บริหารทั่วไป'!$P$7:$P$91,"เปลี่ยนเป็นหน่วยงานผู้เชี่ยวชาญ",'1_บริหารทั่วไป'!$D$7:$D$91,"&lt;&gt;0")+COUNTIFS('2_ยุทธศาสตร์และแผน'!$S$7:$S$91,"ปานกลาง",'2_ยุทธศาสตร์และแผน'!$P$7:$P$91,"เปลี่ยนเป็นหน่วยงานผู้เชี่ยวชาญ",'2_ยุทธศาสตร์และแผน'!$D$7:$D$91,"&lt;&gt;0")+COUNTIFS('3_วิจัยและบริการวิชาการ'!$S$7:$S$91,"ปานกลาง",'3_วิจัยและบริการวิชาการ'!$P$7:$P$91,"เปลี่ยนเป็นหน่วยงานผู้เชี่ยวชาญ",'3_วิจัยและบริการวิชาการ'!$D$7:$D$91,"&lt;&gt;0")+COUNTIFS('4_การศึกษาและนักศึกษา'!$S$7:$S$91,"ปานกลาง",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E22" s="42">
        <f>COUNTIFS('1_บริหารทั่วไป'!$S$7:$S$91,"ปานกลาง",'1_บริหารทั่วไป'!$P$7:$P$91,"ขอหารือเพิ่มเติม",'1_บริหารทั่วไป'!$D$7:$D$91,"&lt;&gt;0")+COUNTIFS('2_ยุทธศาสตร์และแผน'!$S$7:$S$91,"ปานกลาง",'2_ยุทธศาสตร์และแผน'!$P$7:$P$91,"ขอหารือเพิ่มเติม",'2_ยุทธศาสตร์และแผน'!$D$7:$D$91,"&lt;&gt;0")+COUNTIFS('3_วิจัยและบริการวิชาการ'!$S$7:$S$91,"ปานกลาง",'3_วิจัยและบริการวิชาการ'!$P$7:$P$91,"ขอหารือเพิ่มเติม",'3_วิจัยและบริการวิชาการ'!$D$7:$D$91,"&lt;&gt;0")+COUNTIFS('4_การศึกษาและนักศึกษา'!$S$7:$S$91,"ปานกลาง",'4_การศึกษาและนักศึกษา'!$P$7:$P$91,"ขอหารือเพิ่มเติม",'4_การศึกษาและนักศึกษา'!$D$7:$D$91,"&lt;&gt;0")</f>
        <v/>
      </c>
      <c r="F22" s="49">
        <f>SUM(B22:E22)</f>
        <v/>
      </c>
    </row>
    <row r="23">
      <c r="A23" s="41" t="inlineStr">
        <is>
          <t>ต่ำ</t>
        </is>
      </c>
      <c r="B23" s="42">
        <f>COUNTIFS('1_บริหารทั่วไป'!$S$7:$S$91,"ต่ำ",'1_บริหารทั่วไป'!$P$7:$P$91,"คง D2",'1_บริหารทั่วไป'!$D$7:$D$91,"&lt;&gt;0")+COUNTIFS('2_ยุทธศาสตร์และแผน'!$S$7:$S$91,"ต่ำ",'2_ยุทธศาสตร์และแผน'!$P$7:$P$91,"คง D2",'2_ยุทธศาสตร์และแผน'!$D$7:$D$91,"&lt;&gt;0")+COUNTIFS('3_วิจัยและบริการวิชาการ'!$S$7:$S$91,"ต่ำ",'3_วิจัยและบริการวิชาการ'!$P$7:$P$91,"คง D2",'3_วิจัยและบริการวิชาการ'!$D$7:$D$91,"&lt;&gt;0")+COUNTIFS('4_การศึกษาและนักศึกษา'!$S$7:$S$91,"ต่ำ",'4_การศึกษาและนักศึกษา'!$P$7:$P$91,"คง D2",'4_การศึกษาและนักศึกษา'!$D$7:$D$91,"&lt;&gt;0")</f>
        <v/>
      </c>
      <c r="C23" s="42">
        <f>COUNTIFS('1_บริหารทั่วไป'!$S$7:$S$91,"ต่ำ",'1_บริหารทั่วไป'!$P$7:$P$91,"ตัด D2",'1_บริหารทั่วไป'!$D$7:$D$91,"&lt;&gt;0")+COUNTIFS('2_ยุทธศาสตร์และแผน'!$S$7:$S$91,"ต่ำ",'2_ยุทธศาสตร์และแผน'!$P$7:$P$91,"ตัด D2",'2_ยุทธศาสตร์และแผน'!$D$7:$D$91,"&lt;&gt;0")+COUNTIFS('3_วิจัยและบริการวิชาการ'!$S$7:$S$91,"ต่ำ",'3_วิจัยและบริการวิชาการ'!$P$7:$P$91,"ตัด D2",'3_วิจัยและบริการวิชาการ'!$D$7:$D$91,"&lt;&gt;0")+COUNTIFS('4_การศึกษาและนักศึกษา'!$S$7:$S$91,"ต่ำ",'4_การศึกษาและนักศึกษา'!$P$7:$P$91,"ตัด D2",'4_การศึกษาและนักศึกษา'!$D$7:$D$91,"&lt;&gt;0")</f>
        <v/>
      </c>
      <c r="D23" s="42">
        <f>COUNTIFS('1_บริหารทั่วไป'!$S$7:$S$91,"ต่ำ",'1_บริหารทั่วไป'!$P$7:$P$91,"เปลี่ยนเป็นหน่วยงานผู้เชี่ยวชาญ",'1_บริหารทั่วไป'!$D$7:$D$91,"&lt;&gt;0")+COUNTIFS('2_ยุทธศาสตร์และแผน'!$S$7:$S$91,"ต่ำ",'2_ยุทธศาสตร์และแผน'!$P$7:$P$91,"เปลี่ยนเป็นหน่วยงานผู้เชี่ยวชาญ",'2_ยุทธศาสตร์และแผน'!$D$7:$D$91,"&lt;&gt;0")+COUNTIFS('3_วิจัยและบริการวิชาการ'!$S$7:$S$91,"ต่ำ",'3_วิจัยและบริการวิชาการ'!$P$7:$P$91,"เปลี่ยนเป็นหน่วยงานผู้เชี่ยวชาญ",'3_วิจัยและบริการวิชาการ'!$D$7:$D$91,"&lt;&gt;0")+COUNTIFS('4_การศึกษาและนักศึกษา'!$S$7:$S$91,"ต่ำ",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E23" s="42">
        <f>COUNTIFS('1_บริหารทั่วไป'!$S$7:$S$91,"ต่ำ",'1_บริหารทั่วไป'!$P$7:$P$91,"ขอหารือเพิ่มเติม",'1_บริหารทั่วไป'!$D$7:$D$91,"&lt;&gt;0")+COUNTIFS('2_ยุทธศาสตร์และแผน'!$S$7:$S$91,"ต่ำ",'2_ยุทธศาสตร์และแผน'!$P$7:$P$91,"ขอหารือเพิ่มเติม",'2_ยุทธศาสตร์และแผน'!$D$7:$D$91,"&lt;&gt;0")+COUNTIFS('3_วิจัยและบริการวิชาการ'!$S$7:$S$91,"ต่ำ",'3_วิจัยและบริการวิชาการ'!$P$7:$P$91,"ขอหารือเพิ่มเติม",'3_วิจัยและบริการวิชาการ'!$D$7:$D$91,"&lt;&gt;0")+COUNTIFS('4_การศึกษาและนักศึกษา'!$S$7:$S$91,"ต่ำ",'4_การศึกษาและนักศึกษา'!$P$7:$P$91,"ขอหารือเพิ่มเติม",'4_การศึกษาและนักศึกษา'!$D$7:$D$91,"&lt;&gt;0")</f>
        <v/>
      </c>
      <c r="F23" s="49">
        <f>SUM(B23:E23)</f>
        <v/>
      </c>
    </row>
    <row r="24">
      <c r="A24" s="50" t="inlineStr">
        <is>
          <t>ช่องสีส้ม = เสี่ยงสูงแต่เสนอตัด D2 | ช่องสีเหลือง = เสี่ยงต่ำแต่เสนอคง D2 (ควรทบทวนเป็นพิเศษ)</t>
        </is>
      </c>
    </row>
  </sheetData>
  <mergeCells count="20">
    <mergeCell ref="L7:M7"/>
    <mergeCell ref="B7:C7"/>
    <mergeCell ref="H9:I9"/>
    <mergeCell ref="F7:G7"/>
    <mergeCell ref="J9:K9"/>
    <mergeCell ref="L8:M8"/>
    <mergeCell ref="B8:C8"/>
    <mergeCell ref="F8:G8"/>
    <mergeCell ref="D7:E7"/>
    <mergeCell ref="H7:I7"/>
    <mergeCell ref="B4:D4"/>
    <mergeCell ref="J7:K7"/>
    <mergeCell ref="B9:C9"/>
    <mergeCell ref="D9:E9"/>
    <mergeCell ref="F9:G9"/>
    <mergeCell ref="L9:M9"/>
    <mergeCell ref="D8:E8"/>
    <mergeCell ref="A3:P3"/>
    <mergeCell ref="H8:I8"/>
    <mergeCell ref="J8:K8"/>
  </mergeCells>
  <conditionalFormatting sqref="A21:A23">
    <cfRule type="cellIs" priority="1" operator="equal" dxfId="0">
      <formula>"สูง"</formula>
    </cfRule>
    <cfRule type="cellIs" priority="2" operator="equal" dxfId="1">
      <formula>"ปานกลาง"</formula>
    </cfRule>
    <cfRule type="cellIs" priority="3" operator="equal" dxfId="2">
      <formula>"ต่ำ"</formula>
    </cfRule>
  </conditionalFormatting>
  <conditionalFormatting sqref="C21">
    <cfRule type="expression" priority="4" dxfId="3">
      <formula>C21&gt;0</formula>
    </cfRule>
  </conditionalFormatting>
  <conditionalFormatting sqref="B23">
    <cfRule type="expression" priority="5" dxfId="4">
      <formula>B23&gt;0</formula>
    </cfRule>
  </conditionalFormatting>
  <dataValidations count="1">
    <dataValidation sqref="B4" showDropDown="0" showInputMessage="0" showErrorMessage="0" allowBlank="0" type="list">
      <formula1>=Settings!$K$5:$K$9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งานบริหารทั่วไป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งานยุทธศาสตร์และแผน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งานบริหารงานวิจัยและบริการวิชาการ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งานบริการการศึกษาและพัฒนาคุณภาพนักศึกษา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8" customWidth="1" min="4" max="4"/>
    <col width="10" customWidth="1" min="5" max="5"/>
    <col width="16" customWidth="1" min="6" max="6"/>
    <col width="14" customWidth="1" min="7" max="7"/>
    <col width="34" customWidth="1" min="8" max="8"/>
    <col width="22" customWidth="1" min="9" max="9"/>
    <col width="40" customWidth="1" min="10" max="10"/>
    <col width="40" customWidth="1" min="11" max="11"/>
  </cols>
  <sheetData>
    <row r="1">
      <c r="A1" s="51" t="inlineStr">
        <is>
          <t>ตั้งค่าระบบ (Settings) — ผู้ประสานงานแก้ไขได้ หัวหน้างานไม่ต้องแก้</t>
        </is>
      </c>
    </row>
    <row r="4">
      <c r="A4" s="4" t="inlineStr">
        <is>
          <t>ปัจจัยความเสี่ยง</t>
        </is>
      </c>
      <c r="B4" s="4" t="inlineStr">
        <is>
          <t>เงื่อนไขที่ได้คะแนน</t>
        </is>
      </c>
      <c r="C4" s="4" t="inlineStr">
        <is>
          <t>น้ำหนัก (คะแนน)</t>
        </is>
      </c>
      <c r="E4" s="4" t="inlineStr">
        <is>
          <t>Yes / No</t>
        </is>
      </c>
      <c r="F4" s="4" t="inlineStr">
        <is>
          <t>D2 เพิ่มคุณค่า</t>
        </is>
      </c>
      <c r="G4" s="4" t="inlineStr">
        <is>
          <t>D2 ตีกลับ</t>
        </is>
      </c>
      <c r="H4" s="4" t="inlineStr">
        <is>
          <t>ข้อเสนอ</t>
        </is>
      </c>
      <c r="I4" s="4" t="inlineStr">
        <is>
          <t>หน่วยงานผู้เชี่ยวชาญ</t>
        </is>
      </c>
      <c r="J4" s="4" t="inlineStr">
        <is>
          <t>ชื่อหน่วยงาน (4 งาน)</t>
        </is>
      </c>
      <c r="K4" s="4" t="inlineStr">
        <is>
          <t>ตัวเลือก Dashboard</t>
        </is>
      </c>
    </row>
    <row r="5">
      <c r="A5" s="6" t="inlineStr">
        <is>
          <t>ผลกระทบด้านงบประมาณ</t>
        </is>
      </c>
      <c r="B5" s="42" t="inlineStr">
        <is>
          <t>ตอบ Yes</t>
        </is>
      </c>
      <c r="C5" s="75" t="n">
        <v>25</v>
      </c>
      <c r="E5" s="6" t="inlineStr">
        <is>
          <t>Yes</t>
        </is>
      </c>
      <c r="F5" s="6" t="inlineStr">
        <is>
          <t>มาก</t>
        </is>
      </c>
      <c r="G5" s="6" t="inlineStr">
        <is>
          <t>บ่อย</t>
        </is>
      </c>
      <c r="H5" s="6" t="inlineStr">
        <is>
          <t>คง D2</t>
        </is>
      </c>
      <c r="I5" s="6" t="inlineStr">
        <is>
          <t>งานการเงิน</t>
        </is>
      </c>
      <c r="J5" s="6" t="inlineStr">
        <is>
          <t>งานบริหารทั่วไป</t>
        </is>
      </c>
      <c r="K5" s="6" t="inlineStr">
        <is>
          <t>ทั้งคณะ</t>
        </is>
      </c>
    </row>
    <row r="6">
      <c r="A6" s="6" t="inlineStr">
        <is>
          <t>ผลกระทบด้านอัตรากำลัง</t>
        </is>
      </c>
      <c r="B6" s="42" t="inlineStr">
        <is>
          <t>ตอบ Yes</t>
        </is>
      </c>
      <c r="C6" s="75" t="n">
        <v>25</v>
      </c>
      <c r="E6" s="6" t="inlineStr">
        <is>
          <t>No</t>
        </is>
      </c>
      <c r="F6" s="6" t="inlineStr">
        <is>
          <t>ปานกลาง</t>
        </is>
      </c>
      <c r="G6" s="6" t="inlineStr">
        <is>
          <t>บางครั้ง</t>
        </is>
      </c>
      <c r="H6" s="6" t="inlineStr">
        <is>
          <t>ตัด D2</t>
        </is>
      </c>
      <c r="I6" s="6" t="inlineStr">
        <is>
          <t>งานพัสดุ</t>
        </is>
      </c>
      <c r="J6" s="6" t="inlineStr">
        <is>
          <t>งานยุทธศาสตร์และแผน</t>
        </is>
      </c>
      <c r="K6" s="6" t="inlineStr">
        <is>
          <t>งานบริหารทั่วไป</t>
        </is>
      </c>
    </row>
    <row r="7">
      <c r="A7" s="6" t="inlineStr">
        <is>
          <t>ผลกระทบด้านกฎหมาย/ระเบียบ</t>
        </is>
      </c>
      <c r="B7" s="42" t="inlineStr">
        <is>
          <t>ตอบ Yes</t>
        </is>
      </c>
      <c r="C7" s="75" t="n">
        <v>25</v>
      </c>
      <c r="F7" s="6" t="inlineStr">
        <is>
          <t>น้อย</t>
        </is>
      </c>
      <c r="G7" s="6" t="inlineStr">
        <is>
          <t>น้อย</t>
        </is>
      </c>
      <c r="H7" s="6" t="inlineStr">
        <is>
          <t>เปลี่ยนเป็นหน่วยงานผู้เชี่ยวชาญ</t>
        </is>
      </c>
      <c r="I7" s="6" t="inlineStr">
        <is>
          <t>งานบุคคล</t>
        </is>
      </c>
      <c r="J7" s="6" t="inlineStr">
        <is>
          <t>งานบริหารงานวิจัยและบริการวิชาการ</t>
        </is>
      </c>
      <c r="K7" s="6" t="inlineStr">
        <is>
          <t>งานยุทธศาสตร์และแผน</t>
        </is>
      </c>
    </row>
    <row r="8">
      <c r="A8" s="6" t="inlineStr">
        <is>
          <t>ยังไม่มีหน่วยงานผู้เชี่ยวชาญตรวจสอบ</t>
        </is>
      </c>
      <c r="B8" s="42" t="inlineStr">
        <is>
          <t>ตอบ No</t>
        </is>
      </c>
      <c r="C8" s="75" t="n">
        <v>25</v>
      </c>
      <c r="F8" s="6" t="inlineStr">
        <is>
          <t>ไม่มี</t>
        </is>
      </c>
      <c r="G8" s="6" t="inlineStr">
        <is>
          <t>ไม่เคย</t>
        </is>
      </c>
      <c r="H8" s="6" t="inlineStr">
        <is>
          <t>ขอหารือเพิ่มเติม</t>
        </is>
      </c>
      <c r="I8" s="6" t="inlineStr">
        <is>
          <t>งานการศึกษา</t>
        </is>
      </c>
      <c r="J8" s="6" t="inlineStr">
        <is>
          <t>งานบริการการศึกษาและพัฒนาคุณภาพนักศึกษา</t>
        </is>
      </c>
      <c r="K8" s="6" t="inlineStr">
        <is>
          <t>งานบริหารงานวิจัยและบริการวิชาการ</t>
        </is>
      </c>
    </row>
    <row r="9">
      <c r="A9" s="41" t="inlineStr">
        <is>
          <t>รวมน้ำหนัก (ควรเท่ากับ 100)</t>
        </is>
      </c>
      <c r="B9" s="6" t="inlineStr"/>
      <c r="C9" s="49">
        <f>SUM(C5:C8)</f>
        <v/>
      </c>
      <c r="D9" s="76">
        <f>IF(C9=100,"✔ ครบ 100","✖ น้ำหนักรวมไม่เท่ากับ 100")</f>
        <v/>
      </c>
      <c r="I9" s="6" t="inlineStr">
        <is>
          <t>งานวิจัย</t>
        </is>
      </c>
      <c r="K9" s="6" t="inlineStr">
        <is>
          <t>งานบริการการศึกษาและพัฒนาคุณภาพนักศึกษา</t>
        </is>
      </c>
    </row>
    <row r="10">
      <c r="I10" s="6" t="inlineStr">
        <is>
          <t>นิติการ</t>
        </is>
      </c>
    </row>
    <row r="11">
      <c r="A11" s="4" t="inlineStr">
        <is>
          <t>เกณฑ์ระดับความเสี่ยง</t>
        </is>
      </c>
      <c r="B11" s="4" t="inlineStr">
        <is>
          <t>คะแนนตั้งแต่</t>
        </is>
      </c>
      <c r="C11" s="4" t="inlineStr">
        <is>
          <t>ค่า</t>
        </is>
      </c>
      <c r="I11" s="6" t="inlineStr">
        <is>
          <t>อื่น ๆ</t>
        </is>
      </c>
    </row>
    <row r="12">
      <c r="A12" s="6" t="inlineStr">
        <is>
          <t>ปานกลาง</t>
        </is>
      </c>
      <c r="B12" s="42" t="inlineStr">
        <is>
          <t>≥</t>
        </is>
      </c>
      <c r="C12" s="75" t="n">
        <v>50</v>
      </c>
    </row>
    <row r="13">
      <c r="A13" s="6" t="inlineStr">
        <is>
          <t>สูง</t>
        </is>
      </c>
      <c r="B13" s="42" t="inlineStr">
        <is>
          <t>≥</t>
        </is>
      </c>
      <c r="C13" s="75" t="n">
        <v>75</v>
      </c>
    </row>
    <row r="14">
      <c r="A14" s="6" t="inlineStr">
        <is>
          <t>ต่ำ</t>
        </is>
      </c>
      <c r="B14" s="42" t="inlineStr">
        <is>
          <t>น้อยกว่าเกณฑ์ปานกลาง</t>
        </is>
      </c>
      <c r="C14" s="10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2026-10-22T03:17:10Z</dcterms:created>
  <dcterms:modified xmlns:dcterms="http://purl.org/dc/terms/" xmlns:xsi="http://www.w3.org/2001/XMLSchema-instance" xsi:type="dcterms:W3CDTF">2026-10-22T03:17:10Z</dcterms:modified>
</cp:coreProperties>
</file>