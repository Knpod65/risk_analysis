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คู่มือ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_บริหารทั่วไป" sheetId="3" state="visible" r:id="rId3"/>
    <sheet xmlns:r="http://schemas.openxmlformats.org/officeDocument/2006/relationships" name="2_ยุทธศาสตร์และแผน" sheetId="4" state="visible" r:id="rId4"/>
    <sheet xmlns:r="http://schemas.openxmlformats.org/officeDocument/2006/relationships" name="3_วิจัยและบริการวิชาการ" sheetId="5" state="visible" r:id="rId5"/>
    <sheet xmlns:r="http://schemas.openxmlformats.org/officeDocument/2006/relationships" name="4_การศึกษาและนักศึกษา" sheetId="6" state="visible" r:id="rId6"/>
    <sheet xmlns:r="http://schemas.openxmlformats.org/officeDocument/2006/relationships" name="Settings" sheetId="7" state="visible" r:id="rId7"/>
  </sheets>
  <definedNames>
    <definedName name="_xlnm.Print_Titles" localSheetId="2">'1_บริหารทั่วไป'!$4:$5</definedName>
    <definedName name="_xlnm.Print_Titles" localSheetId="3">'2_ยุทธศาสตร์และแผน'!$4:$5</definedName>
    <definedName name="_xlnm.Print_Titles" localSheetId="4">'3_วิจัยและบริการวิชาการ'!$4:$5</definedName>
    <definedName name="_xlnm.Print_Titles" localSheetId="5">'4_การศึกษาและนักศึกษา'!$4:$5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family val="2"/>
      <color theme="1"/>
      <sz val="11"/>
      <scheme val="minor"/>
    </font>
    <font>
      <name val="Tahoma"/>
      <b val="1"/>
      <color rgb="001F3864"/>
      <sz val="14"/>
    </font>
    <font>
      <name val="Tahoma"/>
      <b val="1"/>
      <color rgb="00FFFFFF"/>
      <sz val="10"/>
    </font>
    <font>
      <name val="Tahoma"/>
      <color rgb="00000000"/>
      <sz val="10"/>
    </font>
    <font>
      <name val="Tahoma"/>
      <b val="1"/>
      <color rgb="00000000"/>
      <sz val="10"/>
    </font>
    <font>
      <name val="Tahoma"/>
      <b val="1"/>
      <color rgb="00C00000"/>
      <sz val="10"/>
    </font>
    <font>
      <name val="Tahoma"/>
      <b val="1"/>
      <color rgb="00000000"/>
      <sz val="11"/>
    </font>
    <font>
      <name val="Tahoma"/>
      <b val="1"/>
      <color rgb="00C00000"/>
      <sz val="11"/>
    </font>
    <font>
      <name val="Tahoma"/>
      <color rgb="00595959"/>
      <sz val="10"/>
    </font>
    <font>
      <name val="Tahoma"/>
      <b val="1"/>
      <color rgb="00FFFFFF"/>
      <sz val="12"/>
    </font>
    <font>
      <name val="Tahoma"/>
      <b val="1"/>
      <color rgb="00FFFFFF"/>
      <sz val="9"/>
    </font>
    <font>
      <name val="Tahoma"/>
      <b val="1"/>
      <color rgb="001F3864"/>
      <sz val="9"/>
    </font>
    <font>
      <name val="Tahoma"/>
      <i val="1"/>
      <color rgb="001F3864"/>
      <sz val="8"/>
    </font>
    <font>
      <name val="Tahoma"/>
      <b val="1"/>
      <color rgb="001F3864"/>
      <sz val="16"/>
    </font>
    <font>
      <name val="Tahoma"/>
      <b val="1"/>
      <color rgb="001F3864"/>
      <sz val="12"/>
    </font>
    <font>
      <name val="Tahoma"/>
      <color rgb="00C00000"/>
      <sz val="9"/>
    </font>
    <font>
      <name val="Tahoma"/>
      <b val="1"/>
      <color rgb="001F3864"/>
      <sz val="20"/>
    </font>
    <font>
      <name val="Tahoma"/>
      <b val="1"/>
      <color rgb="001F3864"/>
      <sz val="11"/>
    </font>
    <font>
      <name val="Tahoma"/>
      <b val="1"/>
      <color rgb="00595959"/>
      <sz val="20"/>
    </font>
    <font>
      <name val="Tahoma"/>
      <b val="1"/>
      <color rgb="00595959"/>
      <sz val="11"/>
    </font>
    <font>
      <name val="Tahoma"/>
      <b val="1"/>
      <color rgb="00548235"/>
      <sz val="20"/>
    </font>
    <font>
      <name val="Tahoma"/>
      <b val="1"/>
      <color rgb="00548235"/>
      <sz val="11"/>
    </font>
    <font>
      <name val="Tahoma"/>
      <b val="1"/>
      <color rgb="00C00000"/>
      <sz val="20"/>
    </font>
    <font>
      <name val="Tahoma"/>
      <b val="1"/>
      <color rgb="007030A0"/>
      <sz val="20"/>
    </font>
    <font>
      <name val="Tahoma"/>
      <b val="1"/>
      <color rgb="007030A0"/>
      <sz val="11"/>
    </font>
    <font>
      <name val="Tahoma"/>
      <b val="1"/>
      <color rgb="007F6000"/>
      <sz val="20"/>
    </font>
    <font>
      <name val="Tahoma"/>
      <b val="1"/>
      <color rgb="007F6000"/>
      <sz val="11"/>
    </font>
    <font>
      <name val="Tahoma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9DB"/>
        <bgColor rgb="00FFF9DB"/>
      </patternFill>
    </fill>
    <fill>
      <patternFill patternType="solid">
        <fgColor rgb="00EDEDED"/>
        <bgColor rgb="00EDEDED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595959"/>
        <bgColor rgb="00595959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  <fill>
      <patternFill patternType="solid">
        <fgColor rgb="00C00000"/>
        <bgColor rgb="00C00000"/>
      </patternFill>
    </fill>
    <fill>
      <patternFill patternType="solid">
        <fgColor rgb="007F6000"/>
        <bgColor rgb="007F60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0" fillId="14" borderId="1" applyAlignment="1" pivotButton="0" quotePrefix="0" xfId="0">
      <alignment horizontal="center" vertical="center" wrapText="1"/>
    </xf>
    <xf numFmtId="0" fontId="0" fillId="14" borderId="0" pivotButton="0" quotePrefix="0" xfId="0"/>
    <xf numFmtId="0" fontId="16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164" fontId="21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dxfs count="16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  <dxf>
      <font>
        <name val="Tahoma"/>
        <b val="1"/>
      </font>
      <fill>
        <patternFill patternType="solid">
          <fgColor rgb="00F4B084"/>
          <bgColor rgb="00F4B084"/>
        </patternFill>
      </fill>
    </dxf>
    <dxf>
      <font>
        <name val="Tahoma"/>
        <b val="1"/>
      </font>
      <fill>
        <patternFill patternType="solid">
          <fgColor rgb="00FFE699"/>
          <bgColor rgb="00FFE699"/>
        </patternFill>
      </fill>
    </dxf>
    <dxf>
      <font>
        <name val="Tahoma"/>
        <b val="1"/>
        <color rgb="009C0006"/>
      </font>
      <fill>
        <patternFill patternType="solid">
          <fgColor rgb="00F8CBAD"/>
          <bgColor rgb="00F8CBAD"/>
        </patternFill>
      </fill>
    </dxf>
    <dxf>
      <font>
        <name val="Tahoma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Tahoma"/>
        <b val="1"/>
        <color rgb="00375623"/>
      </font>
      <fill>
        <patternFill patternType="solid">
          <fgColor rgb="00C6E0B4"/>
          <bgColor rgb="00C6E0B4"/>
        </patternFill>
      </fill>
    </dxf>
    <dxf>
      <font>
        <name val="Tahoma"/>
        <b val="1"/>
        <color rgb="00C00000"/>
      </font>
    </dxf>
    <dxf>
      <font>
        <name val="Tahoma"/>
        <b val="1"/>
        <color rgb="007F6000"/>
      </font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EDEDED"/>
          <bgColor rgb="00EDEDED"/>
        </patternFill>
      </fill>
    </dxf>
    <dxf>
      <font>
        <name val="Tahoma"/>
        <b val="1"/>
      </font>
      <fill>
        <patternFill patternType="solid">
          <fgColor rgb="00A9D18E"/>
          <bgColor rgb="00A9D18E"/>
        </patternFill>
      </fill>
    </dxf>
    <dxf>
      <font>
        <name val="Tahoma"/>
        <b val="1"/>
        <color rgb="00375623"/>
      </font>
    </dxf>
    <dxf>
      <font>
        <name val="Tahoma"/>
        <b val="1"/>
        <color rgb="00C55A11"/>
      </font>
    </dxf>
    <dxf>
      <font>
        <name val="Tahoma"/>
        <strike val="1"/>
        <color rgb="00A6A6A6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ข้อเสนอแยกตามหน่วยงาน (จำนวนกระบวนการ)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'Dashboard'!D12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'Dashboard'!$D$13:$D$16</f>
            </numRef>
          </val>
        </ser>
        <ser>
          <idx val="1"/>
          <order val="1"/>
          <tx>
            <strRef>
              <f>'Dashboard'!E12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ser>
          <idx val="2"/>
          <order val="2"/>
          <tx>
            <strRef>
              <f>'Dashboard'!F12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'Dashboard'!$F$13:$F$16</f>
            </numRef>
          </val>
        </ser>
        <ser>
          <idx val="3"/>
          <order val="3"/>
          <tx>
            <strRef>
              <f>'Dashboard'!G12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'Dashboard'!$G$13:$G$16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สัดส่วนข้อเสนอ (ทั้งคณะ)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900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'Dashboard'!$D$12:$G$12</f>
            </numRef>
          </cat>
          <val>
            <numRef>
              <f>'Dashboard'!$D$17:$G$17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ระดับความเสี่ยงแยกตามหน่วยงาน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'Dashboard'!L12</f>
            </strRef>
          </tx>
          <spPr>
            <a:solidFill xmlns:a="http://schemas.openxmlformats.org/drawingml/2006/main">
              <a:srgbClr val="F4B084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'Dashboard'!$L$13:$L$16</f>
            </numRef>
          </val>
        </ser>
        <ser>
          <idx val="1"/>
          <order val="1"/>
          <tx>
            <strRef>
              <f>'Dashboard'!M12</f>
            </strRef>
          </tx>
          <spPr>
            <a:solidFill xmlns:a="http://schemas.openxmlformats.org/drawingml/2006/main">
              <a:srgbClr val="FFD966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'Dashboard'!$M$13:$M$16</f>
            </numRef>
          </val>
        </ser>
        <ser>
          <idx val="2"/>
          <order val="2"/>
          <tx>
            <strRef>
              <f>'Dashboard'!N12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'Dashboard'!$N$13:$N$16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39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0" customWidth="1" min="3" max="3"/>
  </cols>
  <sheetData>
    <row r="1">
      <c r="A1" s="1" t="inlineStr">
        <is>
          <t>คู่มือการกรอกแบบสำรวจ Approval Matrix</t>
        </is>
      </c>
    </row>
    <row r="3">
      <c r="A3" s="2" t="inlineStr">
        <is>
          <t>วัตถุประสงค์</t>
        </is>
      </c>
    </row>
    <row r="4" ht="44" customHeight="1">
      <c r="A4" s="3" t="inlineStr">
        <is>
          <t>ทบทวนว่ากระบวนการใดควร คง / ตัด การกลั่นกรองผ่านเลขานุการคณะ (D2) หรือเปลี่ยนให้หน่วยงานผู้เชี่ยวชาญตรวจแทน โดยใช้ข้อมูลจริงจากหัวหน้างาน เพื่อลดขั้นตอนและ Lead Time โดยยังคงการควบคุมภายในให้สอดคล้องกับระดับความเสี่ยง</t>
        </is>
      </c>
    </row>
    <row r="6">
      <c r="A6" s="2" t="inlineStr">
        <is>
          <t>ระดับในสาย Approval</t>
        </is>
      </c>
    </row>
    <row r="7">
      <c r="A7" s="4" t="inlineStr">
        <is>
          <t>ระดับ</t>
        </is>
      </c>
      <c r="B7" s="4" t="inlineStr">
        <is>
          <t>ตำแหน่ง</t>
        </is>
      </c>
      <c r="C7" s="4" t="inlineStr">
        <is>
          <t>บทบาทหลัก</t>
        </is>
      </c>
    </row>
    <row r="8">
      <c r="A8" s="5" t="inlineStr">
        <is>
          <t>A1</t>
        </is>
      </c>
      <c r="B8" s="6" t="inlineStr">
        <is>
          <t>ผู้ปฏิบัติ</t>
        </is>
      </c>
      <c r="C8" s="6" t="inlineStr">
        <is>
          <t>เจ้าของเรื่อง จัดทำข้อมูล เอกสาร และรายละเอียดเพื่อเสนอขออนุมัติ</t>
        </is>
      </c>
    </row>
    <row r="9">
      <c r="A9" s="5" t="inlineStr">
        <is>
          <t>D1</t>
        </is>
      </c>
      <c r="B9" s="6" t="inlineStr">
        <is>
          <t>หัวหน้างาน</t>
        </is>
      </c>
      <c r="C9" s="6" t="inlineStr">
        <is>
          <t>ควบคุมงานประจำ รับรองความถูกต้องและความจำเป็นของงาน</t>
        </is>
      </c>
    </row>
    <row r="10">
      <c r="A10" s="7" t="inlineStr">
        <is>
          <t>D2</t>
        </is>
      </c>
      <c r="B10" s="8" t="inlineStr">
        <is>
          <t>เลขานุการคณะ</t>
        </is>
      </c>
      <c r="C10" s="8" t="inlineStr">
        <is>
          <t>กำกับดูแลภาพรวมสำนักงาน กลั่นกรองเรื่องที่มีความเสี่ยงหรือกระทบหลายหน่วยงาน  ◀ จุดที่สำรวจ</t>
        </is>
      </c>
    </row>
    <row r="11">
      <c r="A11" s="5" t="inlineStr">
        <is>
          <t>A2</t>
        </is>
      </c>
      <c r="B11" s="6" t="inlineStr">
        <is>
          <t>หน่วยงานเฉพาะทาง</t>
        </is>
      </c>
      <c r="C11" s="6" t="inlineStr">
        <is>
          <t>กำกับดูแลระเบียบ ข้อบังคับ มาตรฐาน หรือความถูกต้องทางวิชาชีพในเรื่องนั้นโดยเฉพาะ</t>
        </is>
      </c>
    </row>
    <row r="12">
      <c r="A12" s="5" t="inlineStr">
        <is>
          <t>D3</t>
        </is>
      </c>
      <c r="B12" s="6" t="inlineStr">
        <is>
          <t>รองคณบดี</t>
        </is>
      </c>
      <c r="C12" s="6" t="inlineStr">
        <is>
          <t>พิจารณาอนุมัติในสายงานที่กำกับดูแล</t>
        </is>
      </c>
    </row>
    <row r="13">
      <c r="A13" s="5" t="inlineStr">
        <is>
          <t>D4</t>
        </is>
      </c>
      <c r="B13" s="6" t="inlineStr">
        <is>
          <t>คณบดี</t>
        </is>
      </c>
      <c r="C13" s="6" t="inlineStr">
        <is>
          <t>อนุมัติเรื่องสำคัญของคณะ มีผลผูกพันด้านงบประมาณ นโยบาย หรือทรัพยากร</t>
        </is>
      </c>
    </row>
    <row r="14">
      <c r="A14" s="5" t="inlineStr">
        <is>
          <t>D5</t>
        </is>
      </c>
      <c r="B14" s="6" t="inlineStr">
        <is>
          <t>มหาวิทยาลัย/อธิการบดี/สภา</t>
        </is>
      </c>
      <c r="C14" s="6" t="inlineStr">
        <is>
          <t>อนุมัติเรื่องที่เกินอำนาจคณะ หรือเป็นไปตามข้อบังคับมหาวิทยาลัย</t>
        </is>
      </c>
    </row>
    <row r="16">
      <c r="A16" s="2" t="inlineStr">
        <is>
          <t>วิธีกรอก (ใช้เวลาประมาณ 30–60 นาทีต่อหน่วยงาน)</t>
        </is>
      </c>
    </row>
    <row r="17" ht="30" customHeight="1">
      <c r="A17" s="3" t="inlineStr">
        <is>
          <t>1. เปิดชีตของหน่วยงานตนเอง (ชื่อชีตขึ้นต้นด้วยเลข 1–4) — รายการกระบวนการตั้งต้น 42 รายการ ทุกงานต้องตอบครบทุกรายการ</t>
        </is>
      </c>
    </row>
    <row r="18" ht="30" customHeight="1">
      <c r="A18" s="3" t="inlineStr">
        <is>
          <t>2. กรอกช่องสีเหลืองอ่อนทีละแถว: จำนวนรายการต่อปี, ระยะเวลาเฉลี่ย (วัน), ระยะเวลาที่ D2 ใช้ (วัน)</t>
        </is>
      </c>
    </row>
    <row r="19" ht="30" customHeight="1">
      <c r="A19" s="3" t="inlineStr">
        <is>
          <t>3. ประเมินผลกระทบ 6 ด้านด้วย Yes/No และประเมินการควบคุม (มีผู้เชี่ยวชาญตรวจอยู่แล้วหรือไม่ / D2 เพิ่มคุณค่า / D2 เคยตีกลับ)</t>
        </is>
      </c>
    </row>
    <row r="20" ht="30" customHeight="1">
      <c r="A20" s="3" t="inlineStr">
        <is>
          <t>4. เลือก 'ข้อเสนอของหัวหน้างาน' — ถ้าเลือก 'เปลี่ยนเป็นหน่วยงานผู้เชี่ยวชาญ' ต้องเลือกหน่วยงานในช่องถัดไปด้วย</t>
        </is>
      </c>
    </row>
    <row r="21" ht="30" customHeight="1">
      <c r="A21" s="3" t="inlineStr">
        <is>
          <t>5. ถ้ากระบวนการใดไม่เคยเกิดขึ้นในงานของท่าน ให้ใส่จำนวนรายการต่อปีเป็น 0 (แถวจะเป็นสีเทาขีดฆ่า และไม่ถูกนับใน Dashboard) ไม่ต้องกรอกช่องอื่น</t>
        </is>
      </c>
    </row>
    <row r="22" ht="30" customHeight="1">
      <c r="A22" s="3" t="inlineStr">
        <is>
          <t>6. มีกระบวนการเพิ่มเติม: เพิ่มชื่อในแถวว่างด้านล่างของตาราง (สูตรและ Dropdown เตรียมไว้แล้ว)</t>
        </is>
      </c>
    </row>
    <row r="23" ht="30" customHeight="1">
      <c r="A23" s="3" t="inlineStr">
        <is>
          <t>7. ดูช่อง 'ธงเตือน' — ถ้ามีข้อความ แสดงว่าข้อเสนอขัดกับระดับความเสี่ยง ควรทบทวนหรือใส่เหตุผลในช่องข้อเสนอแนะ</t>
        </is>
      </c>
    </row>
    <row r="25">
      <c r="A25" s="2" t="inlineStr">
        <is>
          <t>วิธีคำนวณคะแนนความเสี่ยง (ค่าตั้งต้น ปรับได้ที่ชีต Settings)</t>
        </is>
      </c>
    </row>
    <row r="26" ht="30" customHeight="1">
      <c r="A26" s="3" t="inlineStr">
        <is>
          <t>คะแนน = 25 × [งบประมาณ=Yes] + 25 × [อัตรากำลัง=Yes] + 25 × [กฎหมาย/ระเบียบ=Yes] + 25 × [ยังไม่มีผู้เชี่ยวชาญตรวจ (=No)]</t>
        </is>
      </c>
    </row>
    <row r="27" ht="30" customHeight="1">
      <c r="A27" s="3" t="inlineStr">
        <is>
          <t>ระดับ: ต่ำ = คะแนนน้อยกว่า 50   |   ปานกลาง = 50 ถึงน้อยกว่า 75   |   สูง = ตั้งแต่ 75</t>
        </is>
      </c>
    </row>
    <row r="28" ht="30" customHeight="1">
      <c r="A28" s="3" t="inlineStr">
        <is>
          <t>ผลกระทบด้านทรัพย์สิน/พัสดุ ชื่อเสียงองค์กร และนโยบาย เก็บเป็นข้อมูลประกอบ ไม่นำมาคิดคะแนนตามที่ Template กำหนด</t>
        </is>
      </c>
    </row>
    <row r="29" ht="30" customHeight="1">
      <c r="A29" s="3" t="inlineStr">
        <is>
          <t>Dashboard ไม่นับกระบวนการที่จำนวนรายการต่อปี = 0  |  ร้อยละคิดจากกระบวนการที่ตอบ 'ข้อเสนอของหัวหน้างาน' แล้ว  |  วันทำการที่ประหยัดได้ = จำนวนรายการต่อปี × ระยะเวลาที่ D2 ใช้ (เฉพาะแถวที่เสนอตัด D2)</t>
        </is>
      </c>
    </row>
    <row r="31">
      <c r="A31" s="2" t="inlineStr">
        <is>
          <t>สีที่ใช้</t>
        </is>
      </c>
    </row>
    <row r="32">
      <c r="A32" s="9" t="inlineStr"/>
      <c r="B32" s="6" t="inlineStr">
        <is>
          <t>ช่องที่ต้องกรอก</t>
        </is>
      </c>
    </row>
    <row r="33">
      <c r="A33" s="10" t="inlineStr"/>
      <c r="B33" s="6" t="inlineStr">
        <is>
          <t>สูตรอัตโนมัติ / ข้อมูลตั้งต้น (ห้ามแก้)</t>
        </is>
      </c>
    </row>
  </sheetData>
  <mergeCells count="12">
    <mergeCell ref="A28:C28"/>
    <mergeCell ref="A19:C19"/>
    <mergeCell ref="A23:C23"/>
    <mergeCell ref="A22:C22"/>
    <mergeCell ref="A17:C17"/>
    <mergeCell ref="A18:C18"/>
    <mergeCell ref="A27:C27"/>
    <mergeCell ref="A21:C21"/>
    <mergeCell ref="A26:C26"/>
    <mergeCell ref="A4:C4"/>
    <mergeCell ref="A20:C20"/>
    <mergeCell ref="A29:C2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Q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Dashboard สรุปผลสำรวจ Approval Matrix (Risk-Based Approval)</t>
        </is>
      </c>
    </row>
    <row r="2">
      <c r="A2" s="11" t="inlineStr">
        <is>
          <t>สรุปอัตโนมัติจากชีตของหัวหน้างานทั้ง 4 งาน — ไม่นับกระบวนการที่ไม่เคยทำ (จำนวนรายการ = 0) และร้อยละคิดจากกระบวนการที่ตอบข้อเสนอแล้ว</t>
        </is>
      </c>
    </row>
    <row r="4">
      <c r="A4" s="12" t="inlineStr">
        <is>
          <t>เลือกหน่วยงานที่ต้องการดู ▶</t>
        </is>
      </c>
      <c r="B4" s="13" t="inlineStr">
        <is>
          <t>ทั้งคณะ</t>
        </is>
      </c>
      <c r="C4" s="14" t="n"/>
      <c r="D4" s="14" t="n"/>
    </row>
    <row r="6">
      <c r="A6" s="2" t="inlineStr">
        <is>
          <t>ภาพรวม</t>
        </is>
      </c>
    </row>
    <row r="7">
      <c r="B7" s="15" t="inlineStr">
        <is>
          <t>กระบวนการทั้งหมด</t>
        </is>
      </c>
      <c r="C7" s="16" t="n"/>
      <c r="D7" s="17" t="inlineStr">
        <is>
          <t>ตอบข้อเสนอแล้ว</t>
        </is>
      </c>
      <c r="E7" s="18" t="n"/>
      <c r="F7" s="19" t="inlineStr">
        <is>
          <t>เสนอให้ คง D2</t>
        </is>
      </c>
      <c r="G7" s="20" t="n"/>
      <c r="H7" s="21" t="inlineStr">
        <is>
          <t>เสนอให้ ตัด D2</t>
        </is>
      </c>
      <c r="I7" s="22" t="n"/>
      <c r="J7" s="23" t="inlineStr">
        <is>
          <t>เสนอให้เปลี่ยนเป็นผู้เชี่ยวชาญ</t>
        </is>
      </c>
      <c r="K7" s="24" t="n"/>
      <c r="L7" s="25" t="inlineStr">
        <is>
          <t>ขอหารือเพิ่มเติม</t>
        </is>
      </c>
      <c r="M7" s="26" t="n"/>
    </row>
    <row r="8" ht="34" customHeight="1">
      <c r="B8" s="27">
        <f>INDEX($B$13:$B$17,MATCH($B$4,$A$13:$A$17,0))</f>
        <v/>
      </c>
      <c r="D8" s="28">
        <f>INDEX($C$13:$C$17,MATCH($B$4,$A$13:$A$17,0))</f>
        <v/>
      </c>
      <c r="F8" s="29">
        <f>INDEX($D$13:$D$17,MATCH($B$4,$A$13:$A$17,0))</f>
        <v/>
      </c>
      <c r="H8" s="30">
        <f>INDEX($E$13:$E$17,MATCH($B$4,$A$13:$A$17,0))</f>
        <v/>
      </c>
      <c r="J8" s="31">
        <f>INDEX($F$13:$F$17,MATCH($B$4,$A$13:$A$17,0))</f>
        <v/>
      </c>
      <c r="L8" s="32">
        <f>INDEX($G$13:$G$17,MATCH($B$4,$A$13:$A$17,0))</f>
        <v/>
      </c>
    </row>
    <row r="9">
      <c r="B9" s="33">
        <f>"หน่วยงาน: "&amp;$B$4</f>
        <v/>
      </c>
      <c r="D9" s="34">
        <f>IF(INDEX($B$13:$B$17,MATCH($B$4,$A$13:$A$17,0))=0,"",INDEX($C$13:$C$17,MATCH($B$4,$A$13:$A$17,0))/INDEX($B$13:$B$17,MATCH($B$4,$A$13:$A$17,0)))</f>
        <v/>
      </c>
      <c r="F9" s="35">
        <f>INDEX($H$13:$H$17,MATCH($B$4,$A$13:$A$17,0))</f>
        <v/>
      </c>
      <c r="H9" s="36">
        <f>INDEX($I$13:$I$17,MATCH($B$4,$A$13:$A$17,0))</f>
        <v/>
      </c>
      <c r="J9" s="37">
        <f>INDEX($J$13:$J$17,MATCH($B$4,$A$13:$A$17,0))</f>
        <v/>
      </c>
      <c r="L9" s="38">
        <f>INDEX($K$13:$K$17,MATCH($B$4,$A$13:$A$17,0))</f>
        <v/>
      </c>
    </row>
    <row r="10">
      <c r="A10" s="39">
        <f>"หมายเหตุ: ไม่นับกระบวนการที่ไม่เคยทำ (จำนวนรายการต่อปี = 0) รวม "&amp;(COUNTIFS('1_บริหารทั่วไป'!$C$7:$C$91,"?*",'1_บริหารทั่วไป'!$D$7:$D$91,0)+COUNTIFS('2_ยุทธศาสตร์และแผน'!$C$7:$C$91,"?*",'2_ยุทธศาสตร์และแผน'!$D$7:$D$91,0)+COUNTIFS('3_วิจัยและบริการวิชาการ'!$C$7:$C$91,"?*",'3_วิจัยและบริการวิชาการ'!$D$7:$D$91,0)+COUNTIFS('4_การศึกษาและนักศึกษา'!$C$7:$C$91,"?*",'4_การศึกษาและนักศึกษา'!$D$7:$D$91,0))&amp;" รายการ"</f>
        <v/>
      </c>
    </row>
    <row r="11">
      <c r="A11" s="2" t="inlineStr">
        <is>
          <t>ตารางสรุปแยกตามหน่วยงาน</t>
        </is>
      </c>
    </row>
    <row r="12" ht="40" customHeight="1">
      <c r="A12" s="15" t="inlineStr">
        <is>
          <t>หน่วยงาน</t>
        </is>
      </c>
      <c r="B12" s="15" t="inlineStr">
        <is>
          <t>กระบวนการ
ทั้งหมด</t>
        </is>
      </c>
      <c r="C12" s="15" t="inlineStr">
        <is>
          <t>ตอบข้อเสนอ
แล้ว</t>
        </is>
      </c>
      <c r="D12" s="15" t="inlineStr">
        <is>
          <t>คง D2</t>
        </is>
      </c>
      <c r="E12" s="15" t="inlineStr">
        <is>
          <t>ตัด D2</t>
        </is>
      </c>
      <c r="F12" s="15" t="inlineStr">
        <is>
          <t>เปลี่ยนเป็น
ผู้เชี่ยวชาญ</t>
        </is>
      </c>
      <c r="G12" s="15" t="inlineStr">
        <is>
          <t>ขอหารือ
เพิ่มเติม</t>
        </is>
      </c>
      <c r="H12" s="15" t="inlineStr">
        <is>
          <t>% คง D2</t>
        </is>
      </c>
      <c r="I12" s="15" t="inlineStr">
        <is>
          <t>% ตัด D2</t>
        </is>
      </c>
      <c r="J12" s="15" t="inlineStr">
        <is>
          <t>% เปลี่ยน</t>
        </is>
      </c>
      <c r="K12" s="15" t="inlineStr">
        <is>
          <t>% ขอหารือ</t>
        </is>
      </c>
      <c r="L12" s="15" t="inlineStr">
        <is>
          <t>เสี่ยงสูง</t>
        </is>
      </c>
      <c r="M12" s="15" t="inlineStr">
        <is>
          <t>เสี่ยงปานกลาง</t>
        </is>
      </c>
      <c r="N12" s="15" t="inlineStr">
        <is>
          <t>เสี่ยงต่ำ</t>
        </is>
      </c>
      <c r="O12" s="15" t="inlineStr">
        <is>
          <t>ธงเตือน</t>
        </is>
      </c>
      <c r="P12" s="15" t="inlineStr">
        <is>
          <t>วันทำการที่
ประหยัดได้/ปี</t>
        </is>
      </c>
      <c r="Q12" s="15" t="inlineStr">
        <is>
          <t>กรอกครบ
(กระบวนการ)</t>
        </is>
      </c>
    </row>
    <row r="13">
      <c r="A13" s="40" t="inlineStr">
        <is>
          <t>งานบริหารทั่วไป</t>
        </is>
      </c>
      <c r="B13" s="41">
        <f>COUNTIFS('1_บริหารทั่วไป'!$C$7:$C$91,"?*",'1_บริหารทั่วไป'!$D$7:$D$91,"&lt;&gt;0")</f>
        <v/>
      </c>
      <c r="C13" s="41">
        <f>COUNTIFS('1_บริหารทั่วไป'!$C$7:$C$91,"?*",'1_บริหารทั่วไป'!$P$7:$P$91,"?*",'1_บริหารทั่วไป'!$D$7:$D$91,"&lt;&gt;0")</f>
        <v/>
      </c>
      <c r="D13" s="41">
        <f>COUNTIFS('1_บริหารทั่วไป'!$P$7:$P$91,"คง D2",'1_บริหารทั่วไป'!$D$7:$D$91,"&lt;&gt;0")</f>
        <v/>
      </c>
      <c r="E13" s="41">
        <f>COUNTIFS('1_บริหารทั่วไป'!$P$7:$P$91,"ตัด D2",'1_บริหารทั่วไป'!$D$7:$D$91,"&lt;&gt;0")</f>
        <v/>
      </c>
      <c r="F13" s="41">
        <f>COUNTIFS('1_บริหารทั่วไป'!$P$7:$P$91,"เปลี่ยนเป็นหน่วยงานผู้เชี่ยวชาญ",'1_บริหารทั่วไป'!$D$7:$D$91,"&lt;&gt;0")</f>
        <v/>
      </c>
      <c r="G13" s="41">
        <f>COUNTIFS('1_บริหารทั่วไป'!$P$7:$P$91,"ขอหารือเพิ่มเติม",'1_บริหารทั่วไป'!$D$7:$D$91,"&lt;&gt;0")</f>
        <v/>
      </c>
      <c r="H13" s="42">
        <f>IF($C13=0,"",D13/$C13)</f>
        <v/>
      </c>
      <c r="I13" s="42">
        <f>IF($C13=0,"",E13/$C13)</f>
        <v/>
      </c>
      <c r="J13" s="42">
        <f>IF($C13=0,"",F13/$C13)</f>
        <v/>
      </c>
      <c r="K13" s="42">
        <f>IF($C13=0,"",G13/$C13)</f>
        <v/>
      </c>
      <c r="L13" s="41">
        <f>COUNTIFS('1_บริหารทั่วไป'!$S$7:$S$91,"สูง",'1_บริหารทั่วไป'!$D$7:$D$91,"&lt;&gt;0")</f>
        <v/>
      </c>
      <c r="M13" s="41">
        <f>COUNTIFS('1_บริหารทั่วไป'!$S$7:$S$91,"ปานกลาง",'1_บริหารทั่วไป'!$D$7:$D$91,"&lt;&gt;0")</f>
        <v/>
      </c>
      <c r="N13" s="41">
        <f>COUNTIFS('1_บริหารทั่วไป'!$S$7:$S$91,"ต่ำ",'1_บริหารทั่วไป'!$D$7:$D$91,"&lt;&gt;0")</f>
        <v/>
      </c>
      <c r="O13" s="41">
        <f>COUNTIFS('1_บริหารทั่วไป'!$T$7:$T$91,"?*",'1_บริหารทั่วไป'!$D$7:$D$91,"&lt;&gt;0")</f>
        <v/>
      </c>
      <c r="P13" s="43">
        <f>SUMIFS('1_บริหารทั่วไป'!$U$7:$U$91,'1_บริหารทั่วไป'!$D$7:$D$91,"&lt;&gt;0")</f>
        <v/>
      </c>
      <c r="Q13" s="41">
        <f>COUNTIF('1_บริหารทั่วไป'!$W$7:$W$91,"✔ ครบ")</f>
        <v/>
      </c>
    </row>
    <row r="14">
      <c r="A14" s="40" t="inlineStr">
        <is>
          <t>งานยุทธศาสตร์และแผน</t>
        </is>
      </c>
      <c r="B14" s="41">
        <f>COUNTIFS('2_ยุทธศาสตร์และแผน'!$C$7:$C$91,"?*",'2_ยุทธศาสตร์และแผน'!$D$7:$D$91,"&lt;&gt;0")</f>
        <v/>
      </c>
      <c r="C14" s="41">
        <f>COUNTIFS('2_ยุทธศาสตร์และแผน'!$C$7:$C$91,"?*",'2_ยุทธศาสตร์และแผน'!$P$7:$P$91,"?*",'2_ยุทธศาสตร์และแผน'!$D$7:$D$91,"&lt;&gt;0")</f>
        <v/>
      </c>
      <c r="D14" s="41">
        <f>COUNTIFS('2_ยุทธศาสตร์และแผน'!$P$7:$P$91,"คง D2",'2_ยุทธศาสตร์และแผน'!$D$7:$D$91,"&lt;&gt;0")</f>
        <v/>
      </c>
      <c r="E14" s="41">
        <f>COUNTIFS('2_ยุทธศาสตร์และแผน'!$P$7:$P$91,"ตัด D2",'2_ยุทธศาสตร์และแผน'!$D$7:$D$91,"&lt;&gt;0")</f>
        <v/>
      </c>
      <c r="F14" s="41">
        <f>COUNTIFS('2_ยุทธศาสตร์และแผน'!$P$7:$P$91,"เปลี่ยนเป็นหน่วยงานผู้เชี่ยวชาญ",'2_ยุทธศาสตร์และแผน'!$D$7:$D$91,"&lt;&gt;0")</f>
        <v/>
      </c>
      <c r="G14" s="41">
        <f>COUNTIFS('2_ยุทธศาสตร์และแผน'!$P$7:$P$91,"ขอหารือเพิ่มเติม",'2_ยุทธศาสตร์และแผน'!$D$7:$D$91,"&lt;&gt;0")</f>
        <v/>
      </c>
      <c r="H14" s="42">
        <f>IF($C14=0,"",D14/$C14)</f>
        <v/>
      </c>
      <c r="I14" s="42">
        <f>IF($C14=0,"",E14/$C14)</f>
        <v/>
      </c>
      <c r="J14" s="42">
        <f>IF($C14=0,"",F14/$C14)</f>
        <v/>
      </c>
      <c r="K14" s="42">
        <f>IF($C14=0,"",G14/$C14)</f>
        <v/>
      </c>
      <c r="L14" s="41">
        <f>COUNTIFS('2_ยุทธศาสตร์และแผน'!$S$7:$S$91,"สูง",'2_ยุทธศาสตร์และแผน'!$D$7:$D$91,"&lt;&gt;0")</f>
        <v/>
      </c>
      <c r="M14" s="41">
        <f>COUNTIFS('2_ยุทธศาสตร์และแผน'!$S$7:$S$91,"ปานกลาง",'2_ยุทธศาสตร์และแผน'!$D$7:$D$91,"&lt;&gt;0")</f>
        <v/>
      </c>
      <c r="N14" s="41">
        <f>COUNTIFS('2_ยุทธศาสตร์และแผน'!$S$7:$S$91,"ต่ำ",'2_ยุทธศาสตร์และแผน'!$D$7:$D$91,"&lt;&gt;0")</f>
        <v/>
      </c>
      <c r="O14" s="41">
        <f>COUNTIFS('2_ยุทธศาสตร์และแผน'!$T$7:$T$91,"?*",'2_ยุทธศาสตร์และแผน'!$D$7:$D$91,"&lt;&gt;0")</f>
        <v/>
      </c>
      <c r="P14" s="43">
        <f>SUMIFS('2_ยุทธศาสตร์และแผน'!$U$7:$U$91,'2_ยุทธศาสตร์และแผน'!$D$7:$D$91,"&lt;&gt;0")</f>
        <v/>
      </c>
      <c r="Q14" s="41">
        <f>COUNTIF('2_ยุทธศาสตร์และแผน'!$W$7:$W$91,"✔ ครบ")</f>
        <v/>
      </c>
    </row>
    <row r="15">
      <c r="A15" s="40" t="inlineStr">
        <is>
          <t>งานบริหารงานวิจัยและบริการวิชาการ</t>
        </is>
      </c>
      <c r="B15" s="41">
        <f>COUNTIFS('3_วิจัยและบริการวิชาการ'!$C$7:$C$91,"?*",'3_วิจัยและบริการวิชาการ'!$D$7:$D$91,"&lt;&gt;0")</f>
        <v/>
      </c>
      <c r="C15" s="41">
        <f>COUNTIFS('3_วิจัยและบริการวิชาการ'!$C$7:$C$91,"?*",'3_วิจัยและบริการวิชาการ'!$P$7:$P$91,"?*",'3_วิจัยและบริการวิชาการ'!$D$7:$D$91,"&lt;&gt;0")</f>
        <v/>
      </c>
      <c r="D15" s="41">
        <f>COUNTIFS('3_วิจัยและบริการวิชาการ'!$P$7:$P$91,"คง D2",'3_วิจัยและบริการวิชาการ'!$D$7:$D$91,"&lt;&gt;0")</f>
        <v/>
      </c>
      <c r="E15" s="41">
        <f>COUNTIFS('3_วิจัยและบริการวิชาการ'!$P$7:$P$91,"ตัด D2",'3_วิจัยและบริการวิชาการ'!$D$7:$D$91,"&lt;&gt;0")</f>
        <v/>
      </c>
      <c r="F15" s="41">
        <f>COUNTIFS('3_วิจัยและบริการวิชาการ'!$P$7:$P$91,"เปลี่ยนเป็นหน่วยงานผู้เชี่ยวชาญ",'3_วิจัยและบริการวิชาการ'!$D$7:$D$91,"&lt;&gt;0")</f>
        <v/>
      </c>
      <c r="G15" s="41">
        <f>COUNTIFS('3_วิจัยและบริการวิชาการ'!$P$7:$P$91,"ขอหารือเพิ่มเติม",'3_วิจัยและบริการวิชาการ'!$D$7:$D$91,"&lt;&gt;0")</f>
        <v/>
      </c>
      <c r="H15" s="42">
        <f>IF($C15=0,"",D15/$C15)</f>
        <v/>
      </c>
      <c r="I15" s="42">
        <f>IF($C15=0,"",E15/$C15)</f>
        <v/>
      </c>
      <c r="J15" s="42">
        <f>IF($C15=0,"",F15/$C15)</f>
        <v/>
      </c>
      <c r="K15" s="42">
        <f>IF($C15=0,"",G15/$C15)</f>
        <v/>
      </c>
      <c r="L15" s="41">
        <f>COUNTIFS('3_วิจัยและบริการวิชาการ'!$S$7:$S$91,"สูง",'3_วิจัยและบริการวิชาการ'!$D$7:$D$91,"&lt;&gt;0")</f>
        <v/>
      </c>
      <c r="M15" s="41">
        <f>COUNTIFS('3_วิจัยและบริการวิชาการ'!$S$7:$S$91,"ปานกลาง",'3_วิจัยและบริการวิชาการ'!$D$7:$D$91,"&lt;&gt;0")</f>
        <v/>
      </c>
      <c r="N15" s="41">
        <f>COUNTIFS('3_วิจัยและบริการวิชาการ'!$S$7:$S$91,"ต่ำ",'3_วิจัยและบริการวิชาการ'!$D$7:$D$91,"&lt;&gt;0")</f>
        <v/>
      </c>
      <c r="O15" s="41">
        <f>COUNTIFS('3_วิจัยและบริการวิชาการ'!$T$7:$T$91,"?*",'3_วิจัยและบริการวิชาการ'!$D$7:$D$91,"&lt;&gt;0")</f>
        <v/>
      </c>
      <c r="P15" s="43">
        <f>SUMIFS('3_วิจัยและบริการวิชาการ'!$U$7:$U$91,'3_วิจัยและบริการวิชาการ'!$D$7:$D$91,"&lt;&gt;0")</f>
        <v/>
      </c>
      <c r="Q15" s="41">
        <f>COUNTIF('3_วิจัยและบริการวิชาการ'!$W$7:$W$91,"✔ ครบ")</f>
        <v/>
      </c>
    </row>
    <row r="16">
      <c r="A16" s="40" t="inlineStr">
        <is>
          <t>งานบริการการศึกษาและพัฒนาคุณภาพนักศึกษา</t>
        </is>
      </c>
      <c r="B16" s="41">
        <f>COUNTIFS('4_การศึกษาและนักศึกษา'!$C$7:$C$91,"?*",'4_การศึกษาและนักศึกษา'!$D$7:$D$91,"&lt;&gt;0")</f>
        <v/>
      </c>
      <c r="C16" s="41">
        <f>COUNTIFS('4_การศึกษาและนักศึกษา'!$C$7:$C$91,"?*",'4_การศึกษาและนักศึกษา'!$P$7:$P$91,"?*",'4_การศึกษาและนักศึกษา'!$D$7:$D$91,"&lt;&gt;0")</f>
        <v/>
      </c>
      <c r="D16" s="41">
        <f>COUNTIFS('4_การศึกษาและนักศึกษา'!$P$7:$P$91,"คง D2",'4_การศึกษาและนักศึกษา'!$D$7:$D$91,"&lt;&gt;0")</f>
        <v/>
      </c>
      <c r="E16" s="41">
        <f>COUNTIFS('4_การศึกษาและนักศึกษา'!$P$7:$P$91,"ตัด D2",'4_การศึกษาและนักศึกษา'!$D$7:$D$91,"&lt;&gt;0")</f>
        <v/>
      </c>
      <c r="F16" s="41">
        <f>COUNTIFS('4_การศึกษาและนักศึกษา'!$P$7:$P$91,"เปลี่ยนเป็นหน่วยงานผู้เชี่ยวชาญ",'4_การศึกษาและนักศึกษา'!$D$7:$D$91,"&lt;&gt;0")</f>
        <v/>
      </c>
      <c r="G16" s="41">
        <f>COUNTIFS('4_การศึกษาและนักศึกษา'!$P$7:$P$91,"ขอหารือเพิ่มเติม",'4_การศึกษาและนักศึกษา'!$D$7:$D$91,"&lt;&gt;0")</f>
        <v/>
      </c>
      <c r="H16" s="42">
        <f>IF($C16=0,"",D16/$C16)</f>
        <v/>
      </c>
      <c r="I16" s="42">
        <f>IF($C16=0,"",E16/$C16)</f>
        <v/>
      </c>
      <c r="J16" s="42">
        <f>IF($C16=0,"",F16/$C16)</f>
        <v/>
      </c>
      <c r="K16" s="42">
        <f>IF($C16=0,"",G16/$C16)</f>
        <v/>
      </c>
      <c r="L16" s="41">
        <f>COUNTIFS('4_การศึกษาและนักศึกษา'!$S$7:$S$91,"สูง",'4_การศึกษาและนักศึกษา'!$D$7:$D$91,"&lt;&gt;0")</f>
        <v/>
      </c>
      <c r="M16" s="41">
        <f>COUNTIFS('4_การศึกษาและนักศึกษา'!$S$7:$S$91,"ปานกลาง",'4_การศึกษาและนักศึกษา'!$D$7:$D$91,"&lt;&gt;0")</f>
        <v/>
      </c>
      <c r="N16" s="41">
        <f>COUNTIFS('4_การศึกษาและนักศึกษา'!$S$7:$S$91,"ต่ำ",'4_การศึกษาและนักศึกษา'!$D$7:$D$91,"&lt;&gt;0")</f>
        <v/>
      </c>
      <c r="O16" s="41">
        <f>COUNTIFS('4_การศึกษาและนักศึกษา'!$T$7:$T$91,"?*",'4_การศึกษาและนักศึกษา'!$D$7:$D$91,"&lt;&gt;0")</f>
        <v/>
      </c>
      <c r="P16" s="43">
        <f>SUMIFS('4_การศึกษาและนักศึกษา'!$U$7:$U$91,'4_การศึกษาและนักศึกษา'!$D$7:$D$91,"&lt;&gt;0")</f>
        <v/>
      </c>
      <c r="Q16" s="41">
        <f>COUNTIF('4_การศึกษาและนักศึกษา'!$W$7:$W$91,"✔ ครบ")</f>
        <v/>
      </c>
    </row>
    <row r="17">
      <c r="A17" s="44" t="inlineStr">
        <is>
          <t>ทั้งคณะ</t>
        </is>
      </c>
      <c r="B17" s="45">
        <f>SUM(B13:B16)</f>
        <v/>
      </c>
      <c r="C17" s="45">
        <f>SUM(C13:C16)</f>
        <v/>
      </c>
      <c r="D17" s="45">
        <f>SUM(D13:D16)</f>
        <v/>
      </c>
      <c r="E17" s="45">
        <f>SUM(E13:E16)</f>
        <v/>
      </c>
      <c r="F17" s="45">
        <f>SUM(F13:F16)</f>
        <v/>
      </c>
      <c r="G17" s="45">
        <f>SUM(G13:G16)</f>
        <v/>
      </c>
      <c r="H17" s="46">
        <f>IF($C17=0,"",D17/$C17)</f>
        <v/>
      </c>
      <c r="I17" s="46">
        <f>IF($C17=0,"",E17/$C17)</f>
        <v/>
      </c>
      <c r="J17" s="46">
        <f>IF($C17=0,"",F17/$C17)</f>
        <v/>
      </c>
      <c r="K17" s="46">
        <f>IF($C17=0,"",G17/$C17)</f>
        <v/>
      </c>
      <c r="L17" s="45">
        <f>SUM(L13:L16)</f>
        <v/>
      </c>
      <c r="M17" s="45">
        <f>SUM(M13:M16)</f>
        <v/>
      </c>
      <c r="N17" s="45">
        <f>SUM(N13:N16)</f>
        <v/>
      </c>
      <c r="O17" s="45">
        <f>SUM(O13:O16)</f>
        <v/>
      </c>
      <c r="P17" s="47">
        <f>SUM(P13:P16)</f>
        <v/>
      </c>
      <c r="Q17" s="45">
        <f>SUM(Q13:Q16)</f>
        <v/>
      </c>
    </row>
    <row r="19">
      <c r="A19" s="2" t="inlineStr">
        <is>
          <t>ความเสี่ยง × ข้อเสนอ (ทั้งคณะ) — ใช้ดูว่าข้อเสนอสอดคล้องกับระดับความเสี่ยงหรือไม่</t>
        </is>
      </c>
    </row>
    <row r="20" ht="32" customHeight="1">
      <c r="A20" s="15" t="inlineStr">
        <is>
          <t>ระดับความเสี่ยง \ ข้อเสนอ</t>
        </is>
      </c>
      <c r="B20" s="15" t="inlineStr">
        <is>
          <t>คง D2</t>
        </is>
      </c>
      <c r="C20" s="15" t="inlineStr">
        <is>
          <t>ตัด D2</t>
        </is>
      </c>
      <c r="D20" s="15" t="inlineStr">
        <is>
          <t>เปลี่ยนเป็น
ผู้เชี่ยวชาญ</t>
        </is>
      </c>
      <c r="E20" s="15" t="inlineStr">
        <is>
          <t>ขอหารือ
เพิ่มเติม</t>
        </is>
      </c>
      <c r="F20" s="15" t="inlineStr">
        <is>
          <t>รวม</t>
        </is>
      </c>
    </row>
    <row r="21">
      <c r="A21" s="40" t="inlineStr">
        <is>
          <t>สูง</t>
        </is>
      </c>
      <c r="B21" s="41">
        <f>COUNTIFS('1_บริหารทั่วไป'!$S$7:$S$91,"สูง",'1_บริหารทั่วไป'!$P$7:$P$91,"คง D2",'1_บริหารทั่วไป'!$D$7:$D$91,"&lt;&gt;0")+COUNTIFS('2_ยุทธศาสตร์และแผน'!$S$7:$S$91,"สูง",'2_ยุทธศาสตร์และแผน'!$P$7:$P$91,"คง D2",'2_ยุทธศาสตร์และแผน'!$D$7:$D$91,"&lt;&gt;0")+COUNTIFS('3_วิจัยและบริการวิชาการ'!$S$7:$S$91,"สูง",'3_วิจัยและบริการวิชาการ'!$P$7:$P$91,"คง D2",'3_วิจัยและบริการวิชาการ'!$D$7:$D$91,"&lt;&gt;0")+COUNTIFS('4_การศึกษาและนักศึกษา'!$S$7:$S$91,"สูง",'4_การศึกษาและนักศึกษา'!$P$7:$P$91,"คง D2",'4_การศึกษาและนักศึกษา'!$D$7:$D$91,"&lt;&gt;0")</f>
        <v/>
      </c>
      <c r="C21" s="41">
        <f>COUNTIFS('1_บริหารทั่วไป'!$S$7:$S$91,"สูง",'1_บริหารทั่วไป'!$P$7:$P$91,"ตัด D2",'1_บริหารทั่วไป'!$D$7:$D$91,"&lt;&gt;0")+COUNTIFS('2_ยุทธศาสตร์และแผน'!$S$7:$S$91,"สูง",'2_ยุทธศาสตร์และแผน'!$P$7:$P$91,"ตัด D2",'2_ยุทธศาสตร์และแผน'!$D$7:$D$91,"&lt;&gt;0")+COUNTIFS('3_วิจัยและบริการวิชาการ'!$S$7:$S$91,"สูง",'3_วิจัยและบริการวิชาการ'!$P$7:$P$91,"ตัด D2",'3_วิจัยและบริการวิชาการ'!$D$7:$D$91,"&lt;&gt;0")+COUNTIFS('4_การศึกษาและนักศึกษา'!$S$7:$S$91,"สูง",'4_การศึกษาและนักศึกษา'!$P$7:$P$91,"ตัด D2",'4_การศึกษาและนักศึกษา'!$D$7:$D$91,"&lt;&gt;0")</f>
        <v/>
      </c>
      <c r="D21" s="41">
        <f>COUNTIFS('1_บริหารทั่วไป'!$S$7:$S$91,"สูง",'1_บริหารทั่วไป'!$P$7:$P$91,"เปลี่ยนเป็นหน่วยงานผู้เชี่ยวชาญ",'1_บริหารทั่วไป'!$D$7:$D$91,"&lt;&gt;0")+COUNTIFS('2_ยุทธศาสตร์และแผน'!$S$7:$S$91,"สูง",'2_ยุทธศาสตร์และแผน'!$P$7:$P$91,"เปลี่ยนเป็นหน่วยงานผู้เชี่ยวชาญ",'2_ยุทธศาสตร์และแผน'!$D$7:$D$91,"&lt;&gt;0")+COUNTIFS('3_วิจัยและบริการวิชาการ'!$S$7:$S$91,"สูง",'3_วิจัยและบริการวิชาการ'!$P$7:$P$91,"เปลี่ยนเป็นหน่วยงานผู้เชี่ยวชาญ",'3_วิจัยและบริการวิชาการ'!$D$7:$D$91,"&lt;&gt;0")+COUNTIFS('4_การศึกษาและนักศึกษา'!$S$7:$S$91,"สูง",'4_การศึกษาและนักศึกษา'!$P$7:$P$91,"เปลี่ยนเป็นหน่วยงานผู้เชี่ยวชาญ",'4_การศึกษาและนักศึกษา'!$D$7:$D$91,"&lt;&gt;0")</f>
        <v/>
      </c>
      <c r="E21" s="41">
        <f>COUNTIFS('1_บริหารทั่วไป'!$S$7:$S$91,"สูง",'1_บริหารทั่วไป'!$P$7:$P$91,"ขอหารือเพิ่มเติม",'1_บริหารทั่วไป'!$D$7:$D$91,"&lt;&gt;0")+COUNTIFS('2_ยุทธศาสตร์และแผน'!$S$7:$S$91,"สูง",'2_ยุทธศาสตร์และแผน'!$P$7:$P$91,"ขอหารือเพิ่มเติม",'2_ยุทธศาสตร์และแผน'!$D$7:$D$91,"&lt;&gt;0")+COUNTIFS('3_วิจัยและบริการวิชาการ'!$S$7:$S$91,"สูง",'3_วิจัยและบริการวิชาการ'!$P$7:$P$91,"ขอหารือเพิ่มเติม",'3_วิจัยและบริการวิชาการ'!$D$7:$D$91,"&lt;&gt;0")+COUNTIFS('4_การศึกษาและนักศึกษา'!$S$7:$S$91,"สูง",'4_การศึกษาและนักศึกษา'!$P$7:$P$91,"ขอหารือเพิ่มเติม",'4_การศึกษาและนักศึกษา'!$D$7:$D$91,"&lt;&gt;0")</f>
        <v/>
      </c>
      <c r="F21" s="48">
        <f>SUM(B21:E21)</f>
        <v/>
      </c>
    </row>
    <row r="22">
      <c r="A22" s="40" t="inlineStr">
        <is>
          <t>ปานกลาง</t>
        </is>
      </c>
      <c r="B22" s="41">
        <f>COUNTIFS('1_บริหารทั่วไป'!$S$7:$S$91,"ปานกลาง",'1_บริหารทั่วไป'!$P$7:$P$91,"คง D2",'1_บริหารทั่วไป'!$D$7:$D$91,"&lt;&gt;0")+COUNTIFS('2_ยุทธศาสตร์และแผน'!$S$7:$S$91,"ปานกลาง",'2_ยุทธศาสตร์และแผน'!$P$7:$P$91,"คง D2",'2_ยุทธศาสตร์และแผน'!$D$7:$D$91,"&lt;&gt;0")+COUNTIFS('3_วิจัยและบริการวิชาการ'!$S$7:$S$91,"ปานกลาง",'3_วิจัยและบริการวิชาการ'!$P$7:$P$91,"คง D2",'3_วิจัยและบริการวิชาการ'!$D$7:$D$91,"&lt;&gt;0")+COUNTIFS('4_การศึกษาและนักศึกษา'!$S$7:$S$91,"ปานกลาง",'4_การศึกษาและนักศึกษา'!$P$7:$P$91,"คง D2",'4_การศึกษาและนักศึกษา'!$D$7:$D$91,"&lt;&gt;0")</f>
        <v/>
      </c>
      <c r="C22" s="41">
        <f>COUNTIFS('1_บริหารทั่วไป'!$S$7:$S$91,"ปานกลาง",'1_บริหารทั่วไป'!$P$7:$P$91,"ตัด D2",'1_บริหารทั่วไป'!$D$7:$D$91,"&lt;&gt;0")+COUNTIFS('2_ยุทธศาสตร์และแผน'!$S$7:$S$91,"ปานกลาง",'2_ยุทธศาสตร์และแผน'!$P$7:$P$91,"ตัด D2",'2_ยุทธศาสตร์และแผน'!$D$7:$D$91,"&lt;&gt;0")+COUNTIFS('3_วิจัยและบริการวิชาการ'!$S$7:$S$91,"ปานกลาง",'3_วิจัยและบริการวิชาการ'!$P$7:$P$91,"ตัด D2",'3_วิจัยและบริการวิชาการ'!$D$7:$D$91,"&lt;&gt;0")+COUNTIFS('4_การศึกษาและนักศึกษา'!$S$7:$S$91,"ปานกลาง",'4_การศึกษาและนักศึกษา'!$P$7:$P$91,"ตัด D2",'4_การศึกษาและนักศึกษา'!$D$7:$D$91,"&lt;&gt;0")</f>
        <v/>
      </c>
      <c r="D22" s="41">
        <f>COUNTIFS('1_บริหารทั่วไป'!$S$7:$S$91,"ปานกลาง",'1_บริหารทั่วไป'!$P$7:$P$91,"เปลี่ยนเป็นหน่วยงานผู้เชี่ยวชาญ",'1_บริหารทั่วไป'!$D$7:$D$91,"&lt;&gt;0")+COUNTIFS('2_ยุทธศาสตร์และแผน'!$S$7:$S$91,"ปานกลาง",'2_ยุทธศาสตร์และแผน'!$P$7:$P$91,"เปลี่ยนเป็นหน่วยงานผู้เชี่ยวชาญ",'2_ยุทธศาสตร์และแผน'!$D$7:$D$91,"&lt;&gt;0")+COUNTIFS('3_วิจัยและบริการวิชาการ'!$S$7:$S$91,"ปานกลาง",'3_วิจัยและบริการวิชาการ'!$P$7:$P$91,"เปลี่ยนเป็นหน่วยงานผู้เชี่ยวชาญ",'3_วิจัยและบริการวิชาการ'!$D$7:$D$91,"&lt;&gt;0")+COUNTIFS('4_การศึกษาและนักศึกษา'!$S$7:$S$91,"ปานกลาง",'4_การศึกษาและนักศึกษา'!$P$7:$P$91,"เปลี่ยนเป็นหน่วยงานผู้เชี่ยวชาญ",'4_การศึกษาและนักศึกษา'!$D$7:$D$91,"&lt;&gt;0")</f>
        <v/>
      </c>
      <c r="E22" s="41">
        <f>COUNTIFS('1_บริหารทั่วไป'!$S$7:$S$91,"ปานกลาง",'1_บริหารทั่วไป'!$P$7:$P$91,"ขอหารือเพิ่มเติม",'1_บริหารทั่วไป'!$D$7:$D$91,"&lt;&gt;0")+COUNTIFS('2_ยุทธศาสตร์และแผน'!$S$7:$S$91,"ปานกลาง",'2_ยุทธศาสตร์และแผน'!$P$7:$P$91,"ขอหารือเพิ่มเติม",'2_ยุทธศาสตร์และแผน'!$D$7:$D$91,"&lt;&gt;0")+COUNTIFS('3_วิจัยและบริการวิชาการ'!$S$7:$S$91,"ปานกลาง",'3_วิจัยและบริการวิชาการ'!$P$7:$P$91,"ขอหารือเพิ่มเติม",'3_วิจัยและบริการวิชาการ'!$D$7:$D$91,"&lt;&gt;0")+COUNTIFS('4_การศึกษาและนักศึกษา'!$S$7:$S$91,"ปานกลาง",'4_การศึกษาและนักศึกษา'!$P$7:$P$91,"ขอหารือเพิ่มเติม",'4_การศึกษาและนักศึกษา'!$D$7:$D$91,"&lt;&gt;0")</f>
        <v/>
      </c>
      <c r="F22" s="48">
        <f>SUM(B22:E22)</f>
        <v/>
      </c>
    </row>
    <row r="23">
      <c r="A23" s="40" t="inlineStr">
        <is>
          <t>ต่ำ</t>
        </is>
      </c>
      <c r="B23" s="41">
        <f>COUNTIFS('1_บริหารทั่วไป'!$S$7:$S$91,"ต่ำ",'1_บริหารทั่วไป'!$P$7:$P$91,"คง D2",'1_บริหารทั่วไป'!$D$7:$D$91,"&lt;&gt;0")+COUNTIFS('2_ยุทธศาสตร์และแผน'!$S$7:$S$91,"ต่ำ",'2_ยุทธศาสตร์และแผน'!$P$7:$P$91,"คง D2",'2_ยุทธศาสตร์และแผน'!$D$7:$D$91,"&lt;&gt;0")+COUNTIFS('3_วิจัยและบริการวิชาการ'!$S$7:$S$91,"ต่ำ",'3_วิจัยและบริการวิชาการ'!$P$7:$P$91,"คง D2",'3_วิจัยและบริการวิชาการ'!$D$7:$D$91,"&lt;&gt;0")+COUNTIFS('4_การศึกษาและนักศึกษา'!$S$7:$S$91,"ต่ำ",'4_การศึกษาและนักศึกษา'!$P$7:$P$91,"คง D2",'4_การศึกษาและนักศึกษา'!$D$7:$D$91,"&lt;&gt;0")</f>
        <v/>
      </c>
      <c r="C23" s="41">
        <f>COUNTIFS('1_บริหารทั่วไป'!$S$7:$S$91,"ต่ำ",'1_บริหารทั่วไป'!$P$7:$P$91,"ตัด D2",'1_บริหารทั่วไป'!$D$7:$D$91,"&lt;&gt;0")+COUNTIFS('2_ยุทธศาสตร์และแผน'!$S$7:$S$91,"ต่ำ",'2_ยุทธศาสตร์และแผน'!$P$7:$P$91,"ตัด D2",'2_ยุทธศาสตร์และแผน'!$D$7:$D$91,"&lt;&gt;0")+COUNTIFS('3_วิจัยและบริการวิชาการ'!$S$7:$S$91,"ต่ำ",'3_วิจัยและบริการวิชาการ'!$P$7:$P$91,"ตัด D2",'3_วิจัยและบริการวิชาการ'!$D$7:$D$91,"&lt;&gt;0")+COUNTIFS('4_การศึกษาและนักศึกษา'!$S$7:$S$91,"ต่ำ",'4_การศึกษาและนักศึกษา'!$P$7:$P$91,"ตัด D2",'4_การศึกษาและนักศึกษา'!$D$7:$D$91,"&lt;&gt;0")</f>
        <v/>
      </c>
      <c r="D23" s="41">
        <f>COUNTIFS('1_บริหารทั่วไป'!$S$7:$S$91,"ต่ำ",'1_บริหารทั่วไป'!$P$7:$P$91,"เปลี่ยนเป็นหน่วยงานผู้เชี่ยวชาญ",'1_บริหารทั่วไป'!$D$7:$D$91,"&lt;&gt;0")+COUNTIFS('2_ยุทธศาสตร์และแผน'!$S$7:$S$91,"ต่ำ",'2_ยุทธศาสตร์และแผน'!$P$7:$P$91,"เปลี่ยนเป็นหน่วยงานผู้เชี่ยวชาญ",'2_ยุทธศาสตร์และแผน'!$D$7:$D$91,"&lt;&gt;0")+COUNTIFS('3_วิจัยและบริการวิชาการ'!$S$7:$S$91,"ต่ำ",'3_วิจัยและบริการวิชาการ'!$P$7:$P$91,"เปลี่ยนเป็นหน่วยงานผู้เชี่ยวชาญ",'3_วิจัยและบริการวิชาการ'!$D$7:$D$91,"&lt;&gt;0")+COUNTIFS('4_การศึกษาและนักศึกษา'!$S$7:$S$91,"ต่ำ",'4_การศึกษาและนักศึกษา'!$P$7:$P$91,"เปลี่ยนเป็นหน่วยงานผู้เชี่ยวชาญ",'4_การศึกษาและนักศึกษา'!$D$7:$D$91,"&lt;&gt;0")</f>
        <v/>
      </c>
      <c r="E23" s="41">
        <f>COUNTIFS('1_บริหารทั่วไป'!$S$7:$S$91,"ต่ำ",'1_บริหารทั่วไป'!$P$7:$P$91,"ขอหารือเพิ่มเติม",'1_บริหารทั่วไป'!$D$7:$D$91,"&lt;&gt;0")+COUNTIFS('2_ยุทธศาสตร์และแผน'!$S$7:$S$91,"ต่ำ",'2_ยุทธศาสตร์และแผน'!$P$7:$P$91,"ขอหารือเพิ่มเติม",'2_ยุทธศาสตร์และแผน'!$D$7:$D$91,"&lt;&gt;0")+COUNTIFS('3_วิจัยและบริการวิชาการ'!$S$7:$S$91,"ต่ำ",'3_วิจัยและบริการวิชาการ'!$P$7:$P$91,"ขอหารือเพิ่มเติม",'3_วิจัยและบริการวิชาการ'!$D$7:$D$91,"&lt;&gt;0")+COUNTIFS('4_การศึกษาและนักศึกษา'!$S$7:$S$91,"ต่ำ",'4_การศึกษาและนักศึกษา'!$P$7:$P$91,"ขอหารือเพิ่มเติม",'4_การศึกษาและนักศึกษา'!$D$7:$D$91,"&lt;&gt;0")</f>
        <v/>
      </c>
      <c r="F23" s="48">
        <f>SUM(B23:E23)</f>
        <v/>
      </c>
    </row>
    <row r="24">
      <c r="A24" s="49" t="inlineStr">
        <is>
          <t>ช่องสีส้ม = เสี่ยงสูงแต่เสนอตัด D2 | ช่องสีเหลือง = เสี่ยงต่ำแต่เสนอคง D2 (ควรทบทวนเป็นพิเศษ)</t>
        </is>
      </c>
    </row>
  </sheetData>
  <mergeCells count="19">
    <mergeCell ref="L7:M7"/>
    <mergeCell ref="B7:C7"/>
    <mergeCell ref="H9:I9"/>
    <mergeCell ref="F7:G7"/>
    <mergeCell ref="J9:K9"/>
    <mergeCell ref="L8:M8"/>
    <mergeCell ref="B8:C8"/>
    <mergeCell ref="F8:G8"/>
    <mergeCell ref="D7:E7"/>
    <mergeCell ref="H7:I7"/>
    <mergeCell ref="B4:D4"/>
    <mergeCell ref="J7:K7"/>
    <mergeCell ref="B9:C9"/>
    <mergeCell ref="D9:E9"/>
    <mergeCell ref="F9:G9"/>
    <mergeCell ref="L9:M9"/>
    <mergeCell ref="D8:E8"/>
    <mergeCell ref="H8:I8"/>
    <mergeCell ref="J8:K8"/>
  </mergeCells>
  <conditionalFormatting sqref="A21:A23">
    <cfRule type="cellIs" priority="1" operator="equal" dxfId="0">
      <formula>"สูง"</formula>
    </cfRule>
    <cfRule type="cellIs" priority="2" operator="equal" dxfId="1">
      <formula>"ปานกลาง"</formula>
    </cfRule>
    <cfRule type="cellIs" priority="3" operator="equal" dxfId="2">
      <formula>"ต่ำ"</formula>
    </cfRule>
  </conditionalFormatting>
  <conditionalFormatting sqref="C21">
    <cfRule type="expression" priority="4" dxfId="3">
      <formula>C21&gt;0</formula>
    </cfRule>
  </conditionalFormatting>
  <conditionalFormatting sqref="B23">
    <cfRule type="expression" priority="5" dxfId="4">
      <formula>B23&gt;0</formula>
    </cfRule>
  </conditionalFormatting>
  <dataValidations count="1">
    <dataValidation sqref="B4" showDropDown="0" showInputMessage="0" showErrorMessage="0" allowBlank="0" type="list">
      <formula1>=Settings!$K$5:$K$9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9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5" customWidth="1" min="13" max="13"/>
    <col width="13" customWidth="1" min="14" max="14"/>
    <col width="15" customWidth="1" min="15" max="15"/>
    <col width="24" customWidth="1" min="16" max="16"/>
    <col width="20" customWidth="1" min="17" max="17"/>
    <col width="10" customWidth="1" min="18" max="18"/>
    <col width="11" customWidth="1" min="19" max="19"/>
    <col width="34" customWidth="1" min="20" max="20"/>
    <col width="17" customWidth="1" min="21" max="21"/>
    <col width="44" customWidth="1" min="22" max="22"/>
    <col width="34" customWidth="1" min="23" max="23"/>
  </cols>
  <sheetData>
    <row r="1">
      <c r="A1" s="50" t="inlineStr">
        <is>
          <t>แบบสำรวจการปรับปรุง Approval Matrix (Risk-Based Approval)</t>
        </is>
      </c>
    </row>
    <row r="2" ht="24" customHeight="1">
      <c r="A2" s="51" t="inlineStr">
        <is>
          <t>หน่วยงาน:</t>
        </is>
      </c>
      <c r="C2" s="52" t="inlineStr">
        <is>
          <t>งานบริหารทั่วไป</t>
        </is>
      </c>
      <c r="J2" s="53">
        <f>"กรอกครบแล้ว "&amp;COUNTIF(W7:W91,"✔*")&amp;" / "&amp;COUNTIF(C7:C91,"?*")&amp;" กระบวนการ  ("&amp;TEXT(COUNTIF(W7:W91,"✔*")/MAX(1,COUNTIF(C7:C91,"?*")),"0%")&amp;")"</f>
        <v/>
      </c>
    </row>
    <row r="3">
      <c r="A3" s="54" t="inlineStr">
        <is>
          <t>วิธีกรอก: ทำตามลำดับ ①→④ จากซ้ายไปขวา เฉพาะช่องสีเหลือง  |  คลิกช่องใดก็ได้เพื่อดูคำอธิบาย  |  ช่องลำดับ: 🟩 ครบ  🟧 ยังขาด (ดูช่อง 'สถานะการกรอก')  |  กระบวนการที่ไม่เคยทำ ใส่จำนวนรายการ = 0 ได้เลย</t>
        </is>
      </c>
    </row>
    <row r="4">
      <c r="A4" s="4" t="inlineStr">
        <is>
          <t>กระบวนการ</t>
        </is>
      </c>
      <c r="B4" s="55" t="n"/>
      <c r="C4" s="55" t="n"/>
      <c r="D4" s="56" t="inlineStr">
        <is>
          <t>① ข้อมูลพื้นฐาน</t>
        </is>
      </c>
      <c r="E4" s="57" t="n"/>
      <c r="F4" s="57" t="n"/>
      <c r="G4" s="58" t="inlineStr">
        <is>
          <t>② ผลกระทบ — กระบวนการนี้มีผลกระทบต่อ… (Yes/No)</t>
        </is>
      </c>
      <c r="H4" s="59" t="n"/>
      <c r="I4" s="59" t="n"/>
      <c r="J4" s="59" t="n"/>
      <c r="K4" s="59" t="n"/>
      <c r="L4" s="59" t="n"/>
      <c r="M4" s="60" t="inlineStr">
        <is>
          <t>③ การประเมินการควบคุม</t>
        </is>
      </c>
      <c r="N4" s="61" t="n"/>
      <c r="O4" s="61" t="n"/>
      <c r="P4" s="62" t="inlineStr">
        <is>
          <t>④ ข้อเสนอของหัวหน้างาน</t>
        </is>
      </c>
      <c r="Q4" s="63" t="n"/>
      <c r="R4" s="64" t="inlineStr">
        <is>
          <t>คำนวณอัตโนมัติ (ห้ามกรอก)</t>
        </is>
      </c>
      <c r="S4" s="65" t="n"/>
      <c r="T4" s="65" t="n"/>
      <c r="U4" s="65" t="n"/>
      <c r="V4" s="56" t="inlineStr">
        <is>
          <t>เพิ่มเติม (ถ้ามี)</t>
        </is>
      </c>
      <c r="W4" s="64" t="inlineStr">
        <is>
          <t>ตรวจสอบ</t>
        </is>
      </c>
    </row>
    <row r="5" ht="48" customHeight="1">
      <c r="A5" s="15" t="inlineStr">
        <is>
          <t>ลำดับ</t>
        </is>
      </c>
      <c r="B5" s="15" t="inlineStr">
        <is>
          <t>กลุ่มงาน</t>
        </is>
      </c>
      <c r="C5" s="15" t="inlineStr">
        <is>
          <t>ชื่อกระบวนการ</t>
        </is>
      </c>
      <c r="D5" s="15" t="inlineStr">
        <is>
          <t>จำนวนรายการ
ต่อปี</t>
        </is>
      </c>
      <c r="E5" s="15" t="inlineStr">
        <is>
          <t>ระยะเวลาดำเนินการ
เฉลี่ย (วัน)</t>
        </is>
      </c>
      <c r="F5" s="15" t="inlineStr">
        <is>
          <t>ระยะเวลาที่ D2
ใช้ (วัน)</t>
        </is>
      </c>
      <c r="G5" s="15" t="inlineStr">
        <is>
          <t>งบประมาณ</t>
        </is>
      </c>
      <c r="H5" s="15" t="inlineStr">
        <is>
          <t>อัตรากำลัง</t>
        </is>
      </c>
      <c r="I5" s="15" t="inlineStr">
        <is>
          <t>กฎหมาย/
ระเบียบ</t>
        </is>
      </c>
      <c r="J5" s="15" t="inlineStr">
        <is>
          <t>ทรัพย์สิน/
พัสดุ</t>
        </is>
      </c>
      <c r="K5" s="15" t="inlineStr">
        <is>
          <t>ชื่อเสียง
องค์กร</t>
        </is>
      </c>
      <c r="L5" s="15" t="inlineStr">
        <is>
          <t>นโยบาย/
ยุทธศาสตร์คณะ</t>
        </is>
      </c>
      <c r="M5" s="15" t="inlineStr">
        <is>
          <t>มีหน่วยงาน
ผู้เชี่ยวชาญตรวจ
อยู่แล้วหรือไม่</t>
        </is>
      </c>
      <c r="N5" s="15" t="inlineStr">
        <is>
          <t>D2 เพิ่มคุณค่า
ในระดับใด</t>
        </is>
      </c>
      <c r="O5" s="15" t="inlineStr">
        <is>
          <t>D2 เคยตรวจพบ
ข้อผิดพลาด (ตีกลับ)</t>
        </is>
      </c>
      <c r="P5" s="15" t="inlineStr">
        <is>
          <t>ข้อเสนอ
ของหัวหน้างาน</t>
        </is>
      </c>
      <c r="Q5" s="15" t="inlineStr">
        <is>
          <t>หน่วยงานผู้เชี่ยวชาญ
(กรณีเลือกเปลี่ยน)</t>
        </is>
      </c>
      <c r="R5" s="15" t="inlineStr">
        <is>
          <t>คะแนน
ความเสี่ยง</t>
        </is>
      </c>
      <c r="S5" s="15" t="inlineStr">
        <is>
          <t>ระดับ
ความเสี่ยง</t>
        </is>
      </c>
      <c r="T5" s="15" t="inlineStr">
        <is>
          <t>ธงเตือน</t>
        </is>
      </c>
      <c r="U5" s="15" t="inlineStr">
        <is>
          <t>วันทำการที่ประหยัดได้
ต่อปี (ถ้าตัด D2)</t>
        </is>
      </c>
      <c r="V5" s="15" t="inlineStr">
        <is>
          <t>ข้อเสนอแนะ / แนวทางปรับปรุง Workflow</t>
        </is>
      </c>
      <c r="W5" s="15" t="inlineStr">
        <is>
          <t>สถานะการกรอก</t>
        </is>
      </c>
    </row>
    <row r="6" ht="30" customHeight="1">
      <c r="A6" s="66" t="inlineStr">
        <is>
          <t>▶ คำใบ้</t>
        </is>
      </c>
      <c r="B6" s="67" t="n"/>
      <c r="C6" s="68" t="inlineStr">
        <is>
          <t>ชื่อกระบวนการ (แก้ไข/เพิ่มได้)</t>
        </is>
      </c>
      <c r="D6" s="68" t="inlineStr">
        <is>
          <t>ตัวเลข
เช่น 120</t>
        </is>
      </c>
      <c r="E6" s="68" t="inlineStr">
        <is>
          <t>ตัวเลข (วัน)
เช่น 7</t>
        </is>
      </c>
      <c r="F6" s="68" t="inlineStr">
        <is>
          <t>ตัวเลข (วัน)
เช่น 2</t>
        </is>
      </c>
      <c r="G6" s="68" t="inlineStr">
        <is>
          <t>Yes = มีผลกระทบ
No = ไม่มี</t>
        </is>
      </c>
      <c r="H6" s="68" t="inlineStr">
        <is>
          <t>Yes = มีผลกระทบ
No = ไม่มี</t>
        </is>
      </c>
      <c r="I6" s="68" t="inlineStr">
        <is>
          <t>Yes = มีผลกระทบ
No = ไม่มี</t>
        </is>
      </c>
      <c r="J6" s="68" t="inlineStr">
        <is>
          <t>Yes = มีผลกระทบ
No = ไม่มี</t>
        </is>
      </c>
      <c r="K6" s="68" t="inlineStr">
        <is>
          <t>Yes = มีผลกระทบ
No = ไม่มี</t>
        </is>
      </c>
      <c r="L6" s="68" t="inlineStr">
        <is>
          <t>Yes = มีผลกระทบ
No = ไม่มี</t>
        </is>
      </c>
      <c r="M6" s="68" t="inlineStr">
        <is>
          <t>Yes / No</t>
        </is>
      </c>
      <c r="N6" s="68" t="inlineStr">
        <is>
          <t>เลือกจากรายการ</t>
        </is>
      </c>
      <c r="O6" s="68" t="inlineStr">
        <is>
          <t>เลือกจากรายการ</t>
        </is>
      </c>
      <c r="P6" s="68" t="inlineStr">
        <is>
          <t>เลือกจากรายการ</t>
        </is>
      </c>
      <c r="Q6" s="68" t="inlineStr">
        <is>
          <t>เลือกเมื่อ 'เปลี่ยน…'</t>
        </is>
      </c>
      <c r="R6" s="68" t="inlineStr">
        <is>
          <t>อัตโนมัติ</t>
        </is>
      </c>
      <c r="S6" s="68" t="inlineStr">
        <is>
          <t>อัตโนมัติ</t>
        </is>
      </c>
      <c r="T6" s="68" t="inlineStr">
        <is>
          <t>อัตโนมัติ</t>
        </is>
      </c>
      <c r="U6" s="68" t="inlineStr">
        <is>
          <t>อัตโนมัติ</t>
        </is>
      </c>
      <c r="V6" s="68" t="inlineStr">
        <is>
          <t>พิมพ์ข้อความ (ถ้ามี)</t>
        </is>
      </c>
      <c r="W6" s="68" t="inlineStr">
        <is>
          <t>อัตโนมัติ</t>
        </is>
      </c>
    </row>
    <row r="7">
      <c r="A7" s="69" t="n">
        <v>1</v>
      </c>
      <c r="B7" s="70" t="inlineStr">
        <is>
          <t>การเงินและพัสดุ</t>
        </is>
      </c>
      <c r="C7" s="71" t="inlineStr">
        <is>
          <t>ขออนุมัติ เบิกจ่ายตามงบ</t>
        </is>
      </c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69">
        <f>IF(COUNTA(G7:I7,M7)&lt;4,"",Settings!$C$5*(G7="Yes")+Settings!$C$6*(H7="Yes")+Settings!$C$7*(I7="Yes")+Settings!$C$8*(M7="No"))</f>
        <v/>
      </c>
      <c r="S7" s="69">
        <f>IF(R7="","",IF(R7&gt;=Settings!$C$13,"สูง",IF(R7&gt;=Settings!$C$12,"ปานกลาง","ต่ำ")))</f>
        <v/>
      </c>
      <c r="T7" s="70">
        <f>IF(OR(S7="",P7=""),"",IF(AND(S7="สูง",P7="ตัด D2"),"⚠ เสี่ยงสูงแต่เสนอตัด D2 — ควรทบทวน",IF(AND(S7="ต่ำ",P7="คง D2"),"ℹ เสี่ยงต่ำแต่เสนอคง D2 — อาจควบคุมเกินจำเป็น",IF(AND(P7="เปลี่ยนเป็นหน่วยงานผู้เชี่ยวชาญ",M7="No"),"⚠ เสนอโอน แต่ตอบว่ายังไม่มีผู้เชี่ยวชาญตรวจ",IF(AND(P7="เปลี่ยนเป็นหน่วยงานผู้เชี่ยวชาญ",Q7=""),"⚠ ยังไม่ระบุหน่วยงานผู้เชี่ยวชาญ","")))))</f>
        <v/>
      </c>
      <c r="U7" s="69">
        <f>IF(AND(P7="ตัด D2",ISNUMBER(D7),ISNUMBER(F7)),D7*F7,"")</f>
        <v/>
      </c>
      <c r="V7" s="73" t="n"/>
      <c r="W7" s="70">
        <f>IF(C7="","",IF(AND(ISNUMBER(D7),D7=0),"✔ ไม่เคยทำ (ข้าม)",IF(COUNTA(D7:P7)=0,"○ ยังไม่เริ่ม",IF(IF(D7="","จำนวน/ปี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","")="","✔ ครบ","⏳ ขาด: "&amp;TRIM(IF(D7="","จำนวน/ปี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",""))))))</f>
        <v/>
      </c>
    </row>
    <row r="8">
      <c r="A8" s="69" t="n">
        <v>2</v>
      </c>
      <c r="B8" s="70" t="inlineStr">
        <is>
          <t>การเงินและพัสดุ</t>
        </is>
      </c>
      <c r="C8" s="71" t="inlineStr">
        <is>
          <t>ยืมเงินทดรองจ่าย</t>
        </is>
      </c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69">
        <f>IF(COUNTA(G8:I8,M8)&lt;4,"",Settings!$C$5*(G8="Yes")+Settings!$C$6*(H8="Yes")+Settings!$C$7*(I8="Yes")+Settings!$C$8*(M8="No"))</f>
        <v/>
      </c>
      <c r="S8" s="69">
        <f>IF(R8="","",IF(R8&gt;=Settings!$C$13,"สูง",IF(R8&gt;=Settings!$C$12,"ปานกลาง","ต่ำ")))</f>
        <v/>
      </c>
      <c r="T8" s="70">
        <f>IF(OR(S8="",P8=""),"",IF(AND(S8="สูง",P8="ตัด D2"),"⚠ เสี่ยงสูงแต่เสนอตัด D2 — ควรทบทวน",IF(AND(S8="ต่ำ",P8="คง D2"),"ℹ เสี่ยงต่ำแต่เสนอคง D2 — อาจควบคุมเกินจำเป็น",IF(AND(P8="เปลี่ยนเป็นหน่วยงานผู้เชี่ยวชาญ",M8="No"),"⚠ เสนอโอน แต่ตอบว่ายังไม่มีผู้เชี่ยวชาญตรวจ",IF(AND(P8="เปลี่ยนเป็นหน่วยงานผู้เชี่ยวชาญ",Q8=""),"⚠ ยังไม่ระบุหน่วยงานผู้เชี่ยวชาญ","")))))</f>
        <v/>
      </c>
      <c r="U8" s="69">
        <f>IF(AND(P8="ตัด D2",ISNUMBER(D8),ISNUMBER(F8)),D8*F8,"")</f>
        <v/>
      </c>
      <c r="V8" s="73" t="n"/>
      <c r="W8" s="70">
        <f>IF(C8="","",IF(AND(ISNUMBER(D8),D8=0),"✔ ไม่เคยทำ (ข้าม)",IF(COUNTA(D8:P8)=0,"○ ยังไม่เริ่ม",IF(IF(D8="","จำนวน/ปี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","")="","✔ ครบ","⏳ ขาด: "&amp;TRIM(IF(D8="","จำนวน/ปี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",""))))))</f>
        <v/>
      </c>
    </row>
    <row r="9">
      <c r="A9" s="69" t="n">
        <v>3</v>
      </c>
      <c r="B9" s="70" t="inlineStr">
        <is>
          <t>การเงินและพัสดุ</t>
        </is>
      </c>
      <c r="C9" s="71" t="inlineStr">
        <is>
          <t>ขอซื้อวัสดุสำนักงานตามแผน</t>
        </is>
      </c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69">
        <f>IF(COUNTA(G9:I9,M9)&lt;4,"",Settings!$C$5*(G9="Yes")+Settings!$C$6*(H9="Yes")+Settings!$C$7*(I9="Yes")+Settings!$C$8*(M9="No"))</f>
        <v/>
      </c>
      <c r="S9" s="69">
        <f>IF(R9="","",IF(R9&gt;=Settings!$C$13,"สูง",IF(R9&gt;=Settings!$C$12,"ปานกลาง","ต่ำ")))</f>
        <v/>
      </c>
      <c r="T9" s="70">
        <f>IF(OR(S9="",P9=""),"",IF(AND(S9="สูง",P9="ตัด D2"),"⚠ เสี่ยงสูงแต่เสนอตัด D2 — ควรทบทวน",IF(AND(S9="ต่ำ",P9="คง D2"),"ℹ เสี่ยงต่ำแต่เสนอคง D2 — อาจควบคุมเกินจำเป็น",IF(AND(P9="เปลี่ยนเป็นหน่วยงานผู้เชี่ยวชาญ",M9="No"),"⚠ เสนอโอน แต่ตอบว่ายังไม่มีผู้เชี่ยวชาญตรวจ",IF(AND(P9="เปลี่ยนเป็นหน่วยงานผู้เชี่ยวชาญ",Q9=""),"⚠ ยังไม่ระบุหน่วยงานผู้เชี่ยวชาญ","")))))</f>
        <v/>
      </c>
      <c r="U9" s="69">
        <f>IF(AND(P9="ตัด D2",ISNUMBER(D9),ISNUMBER(F9)),D9*F9,"")</f>
        <v/>
      </c>
      <c r="V9" s="73" t="n"/>
      <c r="W9" s="70">
        <f>IF(C9="","",IF(AND(ISNUMBER(D9),D9=0),"✔ ไม่เคยทำ (ข้าม)",IF(COUNTA(D9:P9)=0,"○ ยังไม่เริ่ม",IF(IF(D9="","จำนวน/ปี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","")="","✔ ครบ","⏳ ขาด: "&amp;TRIM(IF(D9="","จำนวน/ปี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",""))))))</f>
        <v/>
      </c>
    </row>
    <row r="10">
      <c r="A10" s="69" t="n">
        <v>4</v>
      </c>
      <c r="B10" s="70" t="inlineStr">
        <is>
          <t>การเงินและพัสดุ</t>
        </is>
      </c>
      <c r="C10" s="71" t="inlineStr">
        <is>
          <t>ขอซื้อวัสดุโครงการ</t>
        </is>
      </c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69">
        <f>IF(COUNTA(G10:I10,M10)&lt;4,"",Settings!$C$5*(G10="Yes")+Settings!$C$6*(H10="Yes")+Settings!$C$7*(I10="Yes")+Settings!$C$8*(M10="No"))</f>
        <v/>
      </c>
      <c r="S10" s="69">
        <f>IF(R10="","",IF(R10&gt;=Settings!$C$13,"สูง",IF(R10&gt;=Settings!$C$12,"ปานกลาง","ต่ำ")))</f>
        <v/>
      </c>
      <c r="T10" s="70">
        <f>IF(OR(S10="",P10=""),"",IF(AND(S10="สูง",P10="ตัด D2"),"⚠ เสี่ยงสูงแต่เสนอตัด D2 — ควรทบทวน",IF(AND(S10="ต่ำ",P10="คง D2"),"ℹ เสี่ยงต่ำแต่เสนอคง D2 — อาจควบคุมเกินจำเป็น",IF(AND(P10="เปลี่ยนเป็นหน่วยงานผู้เชี่ยวชาญ",M10="No"),"⚠ เสนอโอน แต่ตอบว่ายังไม่มีผู้เชี่ยวชาญตรวจ",IF(AND(P10="เปลี่ยนเป็นหน่วยงานผู้เชี่ยวชาญ",Q10=""),"⚠ ยังไม่ระบุหน่วยงานผู้เชี่ยวชาญ","")))))</f>
        <v/>
      </c>
      <c r="U10" s="69">
        <f>IF(AND(P10="ตัด D2",ISNUMBER(D10),ISNUMBER(F10)),D10*F10,"")</f>
        <v/>
      </c>
      <c r="V10" s="73" t="n"/>
      <c r="W10" s="70">
        <f>IF(C10="","",IF(AND(ISNUMBER(D10),D10=0),"✔ ไม่เคยทำ (ข้าม)",IF(COUNTA(D10:P10)=0,"○ ยังไม่เริ่ม",IF(IF(D10="","จำนวน/ปี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","")="","✔ ครบ","⏳ ขาด: "&amp;TRIM(IF(D10="","จำนวน/ปี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",""))))))</f>
        <v/>
      </c>
    </row>
    <row r="11">
      <c r="A11" s="69" t="n">
        <v>5</v>
      </c>
      <c r="B11" s="70" t="inlineStr">
        <is>
          <t>การเงินและพัสดุ</t>
        </is>
      </c>
      <c r="C11" s="71" t="inlineStr">
        <is>
          <t>ขอจ้างเหมาบริการทั่วไป</t>
        </is>
      </c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69">
        <f>IF(COUNTA(G11:I11,M11)&lt;4,"",Settings!$C$5*(G11="Yes")+Settings!$C$6*(H11="Yes")+Settings!$C$7*(I11="Yes")+Settings!$C$8*(M11="No"))</f>
        <v/>
      </c>
      <c r="S11" s="69">
        <f>IF(R11="","",IF(R11&gt;=Settings!$C$13,"สูง",IF(R11&gt;=Settings!$C$12,"ปานกลาง","ต่ำ")))</f>
        <v/>
      </c>
      <c r="T11" s="70">
        <f>IF(OR(S11="",P11=""),"",IF(AND(S11="สูง",P11="ตัด D2"),"⚠ เสี่ยงสูงแต่เสนอตัด D2 — ควรทบทวน",IF(AND(S11="ต่ำ",P11="คง D2"),"ℹ เสี่ยงต่ำแต่เสนอคง D2 — อาจควบคุมเกินจำเป็น",IF(AND(P11="เปลี่ยนเป็นหน่วยงานผู้เชี่ยวชาญ",M11="No"),"⚠ เสนอโอน แต่ตอบว่ายังไม่มีผู้เชี่ยวชาญตรวจ",IF(AND(P11="เปลี่ยนเป็นหน่วยงานผู้เชี่ยวชาญ",Q11=""),"⚠ ยังไม่ระบุหน่วยงานผู้เชี่ยวชาญ","")))))</f>
        <v/>
      </c>
      <c r="U11" s="69">
        <f>IF(AND(P11="ตัด D2",ISNUMBER(D11),ISNUMBER(F11)),D11*F11,"")</f>
        <v/>
      </c>
      <c r="V11" s="73" t="n"/>
      <c r="W11" s="70">
        <f>IF(C11="","",IF(AND(ISNUMBER(D11),D11=0),"✔ ไม่เคยทำ (ข้าม)",IF(COUNTA(D11:P11)=0,"○ ยังไม่เริ่ม",IF(IF(D11="","จำนวน/ปี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","")="","✔ ครบ","⏳ ขาด: "&amp;TRIM(IF(D11="","จำนวน/ปี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",""))))))</f>
        <v/>
      </c>
    </row>
    <row r="12">
      <c r="A12" s="69" t="n">
        <v>6</v>
      </c>
      <c r="B12" s="70" t="inlineStr">
        <is>
          <t>การเงินและพัสดุ</t>
        </is>
      </c>
      <c r="C12" s="71" t="inlineStr">
        <is>
          <t>จัดซื้อครุภัณฑ์ตามแผน</t>
        </is>
      </c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69">
        <f>IF(COUNTA(G12:I12,M12)&lt;4,"",Settings!$C$5*(G12="Yes")+Settings!$C$6*(H12="Yes")+Settings!$C$7*(I12="Yes")+Settings!$C$8*(M12="No"))</f>
        <v/>
      </c>
      <c r="S12" s="69">
        <f>IF(R12="","",IF(R12&gt;=Settings!$C$13,"สูง",IF(R12&gt;=Settings!$C$12,"ปานกลาง","ต่ำ")))</f>
        <v/>
      </c>
      <c r="T12" s="70">
        <f>IF(OR(S12="",P12=""),"",IF(AND(S12="สูง",P12="ตัด D2"),"⚠ เสี่ยงสูงแต่เสนอตัด D2 — ควรทบทวน",IF(AND(S12="ต่ำ",P12="คง D2"),"ℹ เสี่ยงต่ำแต่เสนอคง D2 — อาจควบคุมเกินจำเป็น",IF(AND(P12="เปลี่ยนเป็นหน่วยงานผู้เชี่ยวชาญ",M12="No"),"⚠ เสนอโอน แต่ตอบว่ายังไม่มีผู้เชี่ยวชาญตรวจ",IF(AND(P12="เปลี่ยนเป็นหน่วยงานผู้เชี่ยวชาญ",Q12=""),"⚠ ยังไม่ระบุหน่วยงานผู้เชี่ยวชาญ","")))))</f>
        <v/>
      </c>
      <c r="U12" s="69">
        <f>IF(AND(P12="ตัด D2",ISNUMBER(D12),ISNUMBER(F12)),D12*F12,"")</f>
        <v/>
      </c>
      <c r="V12" s="73" t="n"/>
      <c r="W12" s="70">
        <f>IF(C12="","",IF(AND(ISNUMBER(D12),D12=0),"✔ ไม่เคยทำ (ข้าม)",IF(COUNTA(D12:P12)=0,"○ ยังไม่เริ่ม",IF(IF(D12="","จำนวน/ปี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","")="","✔ ครบ","⏳ ขาด: "&amp;TRIM(IF(D12="","จำนวน/ปี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",""))))))</f>
        <v/>
      </c>
    </row>
    <row r="13">
      <c r="A13" s="69" t="n">
        <v>7</v>
      </c>
      <c r="B13" s="70" t="inlineStr">
        <is>
          <t>การเงินและพัสดุ</t>
        </is>
      </c>
      <c r="C13" s="71" t="inlineStr">
        <is>
          <t>จัดซื้อครุภัณฑ์นอกแผน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69">
        <f>IF(COUNTA(G13:I13,M13)&lt;4,"",Settings!$C$5*(G13="Yes")+Settings!$C$6*(H13="Yes")+Settings!$C$7*(I13="Yes")+Settings!$C$8*(M13="No"))</f>
        <v/>
      </c>
      <c r="S13" s="69">
        <f>IF(R13="","",IF(R13&gt;=Settings!$C$13,"สูง",IF(R13&gt;=Settings!$C$12,"ปานกลาง","ต่ำ")))</f>
        <v/>
      </c>
      <c r="T13" s="70">
        <f>IF(OR(S13="",P13=""),"",IF(AND(S13="สูง",P13="ตัด D2"),"⚠ เสี่ยงสูงแต่เสนอตัด D2 — ควรทบทวน",IF(AND(S13="ต่ำ",P13="คง D2"),"ℹ เสี่ยงต่ำแต่เสนอคง D2 — อาจควบคุมเกินจำเป็น",IF(AND(P13="เปลี่ยนเป็นหน่วยงานผู้เชี่ยวชาญ",M13="No"),"⚠ เสนอโอน แต่ตอบว่ายังไม่มีผู้เชี่ยวชาญตรวจ",IF(AND(P13="เปลี่ยนเป็นหน่วยงานผู้เชี่ยวชาญ",Q13=""),"⚠ ยังไม่ระบุหน่วยงานผู้เชี่ยวชาญ","")))))</f>
        <v/>
      </c>
      <c r="U13" s="69">
        <f>IF(AND(P13="ตัด D2",ISNUMBER(D13),ISNUMBER(F13)),D13*F13,"")</f>
        <v/>
      </c>
      <c r="V13" s="73" t="n"/>
      <c r="W13" s="70">
        <f>IF(C13="","",IF(AND(ISNUMBER(D13),D13=0),"✔ ไม่เคยทำ (ข้าม)",IF(COUNTA(D13:P13)=0,"○ ยังไม่เริ่ม",IF(IF(D13="","จำนวน/ปี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","")="","✔ ครบ","⏳ ขาด: "&amp;TRIM(IF(D13="","จำนวน/ปี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",""))))))</f>
        <v/>
      </c>
    </row>
    <row r="14">
      <c r="A14" s="69" t="n">
        <v>8</v>
      </c>
      <c r="B14" s="70" t="inlineStr">
        <is>
          <t>การเงินและพัสดุ</t>
        </is>
      </c>
      <c r="C14" s="71" t="inlineStr">
        <is>
          <t>ขออนุมัติ TOR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69">
        <f>IF(COUNTA(G14:I14,M14)&lt;4,"",Settings!$C$5*(G14="Yes")+Settings!$C$6*(H14="Yes")+Settings!$C$7*(I14="Yes")+Settings!$C$8*(M14="No"))</f>
        <v/>
      </c>
      <c r="S14" s="69">
        <f>IF(R14="","",IF(R14&gt;=Settings!$C$13,"สูง",IF(R14&gt;=Settings!$C$12,"ปานกลาง","ต่ำ")))</f>
        <v/>
      </c>
      <c r="T14" s="70">
        <f>IF(OR(S14="",P14=""),"",IF(AND(S14="สูง",P14="ตัด D2"),"⚠ เสี่ยงสูงแต่เสนอตัด D2 — ควรทบทวน",IF(AND(S14="ต่ำ",P14="คง D2"),"ℹ เสี่ยงต่ำแต่เสนอคง D2 — อาจควบคุมเกินจำเป็น",IF(AND(P14="เปลี่ยนเป็นหน่วยงานผู้เชี่ยวชาญ",M14="No"),"⚠ เสนอโอน แต่ตอบว่ายังไม่มีผู้เชี่ยวชาญตรวจ",IF(AND(P14="เปลี่ยนเป็นหน่วยงานผู้เชี่ยวชาญ",Q14=""),"⚠ ยังไม่ระบุหน่วยงานผู้เชี่ยวชาญ","")))))</f>
        <v/>
      </c>
      <c r="U14" s="69">
        <f>IF(AND(P14="ตัด D2",ISNUMBER(D14),ISNUMBER(F14)),D14*F14,"")</f>
        <v/>
      </c>
      <c r="V14" s="73" t="n"/>
      <c r="W14" s="70">
        <f>IF(C14="","",IF(AND(ISNUMBER(D14),D14=0),"✔ ไม่เคยทำ (ข้าม)",IF(COUNTA(D14:P14)=0,"○ ยังไม่เริ่ม",IF(IF(D14="","จำนวน/ปี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","")="","✔ ครบ","⏳ ขาด: "&amp;TRIM(IF(D14="","จำนวน/ปี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",""))))))</f>
        <v/>
      </c>
    </row>
    <row r="15">
      <c r="A15" s="69" t="n">
        <v>9</v>
      </c>
      <c r="B15" s="70" t="inlineStr">
        <is>
          <t>การเงินและพัสดุ</t>
        </is>
      </c>
      <c r="C15" s="71" t="inlineStr">
        <is>
          <t>ขออนุมัติราคากลาง</t>
        </is>
      </c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69">
        <f>IF(COUNTA(G15:I15,M15)&lt;4,"",Settings!$C$5*(G15="Yes")+Settings!$C$6*(H15="Yes")+Settings!$C$7*(I15="Yes")+Settings!$C$8*(M15="No"))</f>
        <v/>
      </c>
      <c r="S15" s="69">
        <f>IF(R15="","",IF(R15&gt;=Settings!$C$13,"สูง",IF(R15&gt;=Settings!$C$12,"ปานกลาง","ต่ำ")))</f>
        <v/>
      </c>
      <c r="T15" s="70">
        <f>IF(OR(S15="",P15=""),"",IF(AND(S15="สูง",P15="ตัด D2"),"⚠ เสี่ยงสูงแต่เสนอตัด D2 — ควรทบทวน",IF(AND(S15="ต่ำ",P15="คง D2"),"ℹ เสี่ยงต่ำแต่เสนอคง D2 — อาจควบคุมเกินจำเป็น",IF(AND(P15="เปลี่ยนเป็นหน่วยงานผู้เชี่ยวชาญ",M15="No"),"⚠ เสนอโอน แต่ตอบว่ายังไม่มีผู้เชี่ยวชาญตรวจ",IF(AND(P15="เปลี่ยนเป็นหน่วยงานผู้เชี่ยวชาญ",Q15=""),"⚠ ยังไม่ระบุหน่วยงานผู้เชี่ยวชาญ","")))))</f>
        <v/>
      </c>
      <c r="U15" s="69">
        <f>IF(AND(P15="ตัด D2",ISNUMBER(D15),ISNUMBER(F15)),D15*F15,"")</f>
        <v/>
      </c>
      <c r="V15" s="73" t="n"/>
      <c r="W15" s="70">
        <f>IF(C15="","",IF(AND(ISNUMBER(D15),D15=0),"✔ ไม่เคยทำ (ข้าม)",IF(COUNTA(D15:P15)=0,"○ ยังไม่เริ่ม",IF(IF(D15="","จำนวน/ปี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","")="","✔ ครบ","⏳ ขาด: "&amp;TRIM(IF(D15="","จำนวน/ปี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",""))))))</f>
        <v/>
      </c>
    </row>
    <row r="16">
      <c r="A16" s="69" t="n">
        <v>10</v>
      </c>
      <c r="B16" s="70" t="inlineStr">
        <is>
          <t>การเงินและพัสดุ</t>
        </is>
      </c>
      <c r="C16" s="71" t="inlineStr">
        <is>
          <t>แต่งตั้งคณะกรรมการจัดซื้อจัดจ้าง</t>
        </is>
      </c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69">
        <f>IF(COUNTA(G16:I16,M16)&lt;4,"",Settings!$C$5*(G16="Yes")+Settings!$C$6*(H16="Yes")+Settings!$C$7*(I16="Yes")+Settings!$C$8*(M16="No"))</f>
        <v/>
      </c>
      <c r="S16" s="69">
        <f>IF(R16="","",IF(R16&gt;=Settings!$C$13,"สูง",IF(R16&gt;=Settings!$C$12,"ปานกลาง","ต่ำ")))</f>
        <v/>
      </c>
      <c r="T16" s="70">
        <f>IF(OR(S16="",P16=""),"",IF(AND(S16="สูง",P16="ตัด D2"),"⚠ เสี่ยงสูงแต่เสนอตัด D2 — ควรทบทวน",IF(AND(S16="ต่ำ",P16="คง D2"),"ℹ เสี่ยงต่ำแต่เสนอคง D2 — อาจควบคุมเกินจำเป็น",IF(AND(P16="เปลี่ยนเป็นหน่วยงานผู้เชี่ยวชาญ",M16="No"),"⚠ เสนอโอน แต่ตอบว่ายังไม่มีผู้เชี่ยวชาญตรวจ",IF(AND(P16="เปลี่ยนเป็นหน่วยงานผู้เชี่ยวชาญ",Q16=""),"⚠ ยังไม่ระบุหน่วยงานผู้เชี่ยวชาญ","")))))</f>
        <v/>
      </c>
      <c r="U16" s="69">
        <f>IF(AND(P16="ตัด D2",ISNUMBER(D16),ISNUMBER(F16)),D16*F16,"")</f>
        <v/>
      </c>
      <c r="V16" s="73" t="n"/>
      <c r="W16" s="70">
        <f>IF(C16="","",IF(AND(ISNUMBER(D16),D16=0),"✔ ไม่เคยทำ (ข้าม)",IF(COUNTA(D16:P16)=0,"○ ยังไม่เริ่ม",IF(IF(D16="","จำนวน/ปี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","")="","✔ ครบ","⏳ ขาด: "&amp;TRIM(IF(D16="","จำนวน/ปี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",""))))))</f>
        <v/>
      </c>
    </row>
    <row r="17">
      <c r="A17" s="69" t="n">
        <v>11</v>
      </c>
      <c r="B17" s="70" t="inlineStr">
        <is>
          <t>การเงินและพัสดุ</t>
        </is>
      </c>
      <c r="C17" s="71" t="inlineStr">
        <is>
          <t>อนุมัติผลการจัดซื้อจัดจ้าง</t>
        </is>
      </c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69">
        <f>IF(COUNTA(G17:I17,M17)&lt;4,"",Settings!$C$5*(G17="Yes")+Settings!$C$6*(H17="Yes")+Settings!$C$7*(I17="Yes")+Settings!$C$8*(M17="No"))</f>
        <v/>
      </c>
      <c r="S17" s="69">
        <f>IF(R17="","",IF(R17&gt;=Settings!$C$13,"สูง",IF(R17&gt;=Settings!$C$12,"ปานกลาง","ต่ำ")))</f>
        <v/>
      </c>
      <c r="T17" s="70">
        <f>IF(OR(S17="",P17=""),"",IF(AND(S17="สูง",P17="ตัด D2"),"⚠ เสี่ยงสูงแต่เสนอตัด D2 — ควรทบทวน",IF(AND(S17="ต่ำ",P17="คง D2"),"ℹ เสี่ยงต่ำแต่เสนอคง D2 — อาจควบคุมเกินจำเป็น",IF(AND(P17="เปลี่ยนเป็นหน่วยงานผู้เชี่ยวชาญ",M17="No"),"⚠ เสนอโอน แต่ตอบว่ายังไม่มีผู้เชี่ยวชาญตรวจ",IF(AND(P17="เปลี่ยนเป็นหน่วยงานผู้เชี่ยวชาญ",Q17=""),"⚠ ยังไม่ระบุหน่วยงานผู้เชี่ยวชาญ","")))))</f>
        <v/>
      </c>
      <c r="U17" s="69">
        <f>IF(AND(P17="ตัด D2",ISNUMBER(D17),ISNUMBER(F17)),D17*F17,"")</f>
        <v/>
      </c>
      <c r="V17" s="73" t="n"/>
      <c r="W17" s="70">
        <f>IF(C17="","",IF(AND(ISNUMBER(D17),D17=0),"✔ ไม่เคยทำ (ข้าม)",IF(COUNTA(D17:P17)=0,"○ ยังไม่เริ่ม",IF(IF(D17="","จำนวน/ปี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","")="","✔ ครบ","⏳ ขาด: "&amp;TRIM(IF(D17="","จำนวน/ปี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",""))))))</f>
        <v/>
      </c>
    </row>
    <row r="18">
      <c r="A18" s="69" t="n">
        <v>12</v>
      </c>
      <c r="B18" s="70" t="inlineStr">
        <is>
          <t>การเงินและพัสดุ</t>
        </is>
      </c>
      <c r="C18" s="71" t="inlineStr">
        <is>
          <t>ขอขยายสัญญา</t>
        </is>
      </c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69">
        <f>IF(COUNTA(G18:I18,M18)&lt;4,"",Settings!$C$5*(G18="Yes")+Settings!$C$6*(H18="Yes")+Settings!$C$7*(I18="Yes")+Settings!$C$8*(M18="No"))</f>
        <v/>
      </c>
      <c r="S18" s="69">
        <f>IF(R18="","",IF(R18&gt;=Settings!$C$13,"สูง",IF(R18&gt;=Settings!$C$12,"ปานกลาง","ต่ำ")))</f>
        <v/>
      </c>
      <c r="T18" s="70">
        <f>IF(OR(S18="",P18=""),"",IF(AND(S18="สูง",P18="ตัด D2"),"⚠ เสี่ยงสูงแต่เสนอตัด D2 — ควรทบทวน",IF(AND(S18="ต่ำ",P18="คง D2"),"ℹ เสี่ยงต่ำแต่เสนอคง D2 — อาจควบคุมเกินจำเป็น",IF(AND(P18="เปลี่ยนเป็นหน่วยงานผู้เชี่ยวชาญ",M18="No"),"⚠ เสนอโอน แต่ตอบว่ายังไม่มีผู้เชี่ยวชาญตรวจ",IF(AND(P18="เปลี่ยนเป็นหน่วยงานผู้เชี่ยวชาญ",Q18=""),"⚠ ยังไม่ระบุหน่วยงานผู้เชี่ยวชาญ","")))))</f>
        <v/>
      </c>
      <c r="U18" s="69">
        <f>IF(AND(P18="ตัด D2",ISNUMBER(D18),ISNUMBER(F18)),D18*F18,"")</f>
        <v/>
      </c>
      <c r="V18" s="73" t="n"/>
      <c r="W18" s="70">
        <f>IF(C18="","",IF(AND(ISNUMBER(D18),D18=0),"✔ ไม่เคยทำ (ข้าม)",IF(COUNTA(D18:P18)=0,"○ ยังไม่เริ่ม",IF(IF(D18="","จำนวน/ปี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","")="","✔ ครบ","⏳ ขาด: "&amp;TRIM(IF(D18="","จำนวน/ปี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",""))))))</f>
        <v/>
      </c>
    </row>
    <row r="19">
      <c r="A19" s="69" t="n">
        <v>13</v>
      </c>
      <c r="B19" s="70" t="inlineStr">
        <is>
          <t>การเงินและพัสดุ</t>
        </is>
      </c>
      <c r="C19" s="71" t="inlineStr">
        <is>
          <t>ตรวจรับพัสดุ</t>
        </is>
      </c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69">
        <f>IF(COUNTA(G19:I19,M19)&lt;4,"",Settings!$C$5*(G19="Yes")+Settings!$C$6*(H19="Yes")+Settings!$C$7*(I19="Yes")+Settings!$C$8*(M19="No"))</f>
        <v/>
      </c>
      <c r="S19" s="69">
        <f>IF(R19="","",IF(R19&gt;=Settings!$C$13,"สูง",IF(R19&gt;=Settings!$C$12,"ปานกลาง","ต่ำ")))</f>
        <v/>
      </c>
      <c r="T19" s="70">
        <f>IF(OR(S19="",P19=""),"",IF(AND(S19="สูง",P19="ตัด D2"),"⚠ เสี่ยงสูงแต่เสนอตัด D2 — ควรทบทวน",IF(AND(S19="ต่ำ",P19="คง D2"),"ℹ เสี่ยงต่ำแต่เสนอคง D2 — อาจควบคุมเกินจำเป็น",IF(AND(P19="เปลี่ยนเป็นหน่วยงานผู้เชี่ยวชาญ",M19="No"),"⚠ เสนอโอน แต่ตอบว่ายังไม่มีผู้เชี่ยวชาญตรวจ",IF(AND(P19="เปลี่ยนเป็นหน่วยงานผู้เชี่ยวชาญ",Q19=""),"⚠ ยังไม่ระบุหน่วยงานผู้เชี่ยวชาญ","")))))</f>
        <v/>
      </c>
      <c r="U19" s="69">
        <f>IF(AND(P19="ตัด D2",ISNUMBER(D19),ISNUMBER(F19)),D19*F19,"")</f>
        <v/>
      </c>
      <c r="V19" s="73" t="n"/>
      <c r="W19" s="70">
        <f>IF(C19="","",IF(AND(ISNUMBER(D19),D19=0),"✔ ไม่เคยทำ (ข้าม)",IF(COUNTA(D19:P19)=0,"○ ยังไม่เริ่ม",IF(IF(D19="","จำนวน/ปี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","")="","✔ ครบ","⏳ ขาด: "&amp;TRIM(IF(D19="","จำนวน/ปี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",""))))))</f>
        <v/>
      </c>
    </row>
    <row r="20">
      <c r="A20" s="69" t="n">
        <v>14</v>
      </c>
      <c r="B20" s="70" t="inlineStr">
        <is>
          <t>การเงินและพัสดุ</t>
        </is>
      </c>
      <c r="C20" s="71" t="inlineStr">
        <is>
          <t>เบิกจ่ายหลังตรวจรับ</t>
        </is>
      </c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69">
        <f>IF(COUNTA(G20:I20,M20)&lt;4,"",Settings!$C$5*(G20="Yes")+Settings!$C$6*(H20="Yes")+Settings!$C$7*(I20="Yes")+Settings!$C$8*(M20="No"))</f>
        <v/>
      </c>
      <c r="S20" s="69">
        <f>IF(R20="","",IF(R20&gt;=Settings!$C$13,"สูง",IF(R20&gt;=Settings!$C$12,"ปานกลาง","ต่ำ")))</f>
        <v/>
      </c>
      <c r="T20" s="70">
        <f>IF(OR(S20="",P20=""),"",IF(AND(S20="สูง",P20="ตัด D2"),"⚠ เสี่ยงสูงแต่เสนอตัด D2 — ควรทบทวน",IF(AND(S20="ต่ำ",P20="คง D2"),"ℹ เสี่ยงต่ำแต่เสนอคง D2 — อาจควบคุมเกินจำเป็น",IF(AND(P20="เปลี่ยนเป็นหน่วยงานผู้เชี่ยวชาญ",M20="No"),"⚠ เสนอโอน แต่ตอบว่ายังไม่มีผู้เชี่ยวชาญตรวจ",IF(AND(P20="เปลี่ยนเป็นหน่วยงานผู้เชี่ยวชาญ",Q20=""),"⚠ ยังไม่ระบุหน่วยงานผู้เชี่ยวชาญ","")))))</f>
        <v/>
      </c>
      <c r="U20" s="69">
        <f>IF(AND(P20="ตัด D2",ISNUMBER(D20),ISNUMBER(F20)),D20*F20,"")</f>
        <v/>
      </c>
      <c r="V20" s="73" t="n"/>
      <c r="W20" s="70">
        <f>IF(C20="","",IF(AND(ISNUMBER(D20),D20=0),"✔ ไม่เคยทำ (ข้าม)",IF(COUNTA(D20:P20)=0,"○ ยังไม่เริ่ม",IF(IF(D20="","จำนวน/ปี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","")="","✔ ครบ","⏳ ขาด: "&amp;TRIM(IF(D20="","จำนวน/ปี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",""))))))</f>
        <v/>
      </c>
    </row>
    <row r="21">
      <c r="A21" s="69" t="n">
        <v>15</v>
      </c>
      <c r="B21" s="70" t="inlineStr">
        <is>
          <t>การเงินและพัสดุ</t>
        </is>
      </c>
      <c r="C21" s="71" t="inlineStr">
        <is>
          <t>จำหน่ายพัสดุ</t>
        </is>
      </c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69">
        <f>IF(COUNTA(G21:I21,M21)&lt;4,"",Settings!$C$5*(G21="Yes")+Settings!$C$6*(H21="Yes")+Settings!$C$7*(I21="Yes")+Settings!$C$8*(M21="No"))</f>
        <v/>
      </c>
      <c r="S21" s="69">
        <f>IF(R21="","",IF(R21&gt;=Settings!$C$13,"สูง",IF(R21&gt;=Settings!$C$12,"ปานกลาง","ต่ำ")))</f>
        <v/>
      </c>
      <c r="T21" s="70">
        <f>IF(OR(S21="",P21=""),"",IF(AND(S21="สูง",P21="ตัด D2"),"⚠ เสี่ยงสูงแต่เสนอตัด D2 — ควรทบทวน",IF(AND(S21="ต่ำ",P21="คง D2"),"ℹ เสี่ยงต่ำแต่เสนอคง D2 — อาจควบคุมเกินจำเป็น",IF(AND(P21="เปลี่ยนเป็นหน่วยงานผู้เชี่ยวชาญ",M21="No"),"⚠ เสนอโอน แต่ตอบว่ายังไม่มีผู้เชี่ยวชาญตรวจ",IF(AND(P21="เปลี่ยนเป็นหน่วยงานผู้เชี่ยวชาญ",Q21=""),"⚠ ยังไม่ระบุหน่วยงานผู้เชี่ยวชาญ","")))))</f>
        <v/>
      </c>
      <c r="U21" s="69">
        <f>IF(AND(P21="ตัด D2",ISNUMBER(D21),ISNUMBER(F21)),D21*F21,"")</f>
        <v/>
      </c>
      <c r="V21" s="73" t="n"/>
      <c r="W21" s="70">
        <f>IF(C21="","",IF(AND(ISNUMBER(D21),D21=0),"✔ ไม่เคยทำ (ข้าม)",IF(COUNTA(D21:P21)=0,"○ ยังไม่เริ่ม",IF(IF(D21="","จำนวน/ปี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","")="","✔ ครบ","⏳ ขาด: "&amp;TRIM(IF(D21="","จำนวน/ปี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",""))))))</f>
        <v/>
      </c>
    </row>
    <row r="22">
      <c r="A22" s="69" t="n">
        <v>16</v>
      </c>
      <c r="B22" s="70" t="inlineStr">
        <is>
          <t>การเงินและพัสดุ</t>
        </is>
      </c>
      <c r="C22" s="71" t="inlineStr">
        <is>
          <t>จัดซื้อครุภัณฑ์นอกแผนที่มีผลกระทบต่อแผนงบประมาณคณะ</t>
        </is>
      </c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69">
        <f>IF(COUNTA(G22:I22,M22)&lt;4,"",Settings!$C$5*(G22="Yes")+Settings!$C$6*(H22="Yes")+Settings!$C$7*(I22="Yes")+Settings!$C$8*(M22="No"))</f>
        <v/>
      </c>
      <c r="S22" s="69">
        <f>IF(R22="","",IF(R22&gt;=Settings!$C$13,"สูง",IF(R22&gt;=Settings!$C$12,"ปานกลาง","ต่ำ")))</f>
        <v/>
      </c>
      <c r="T22" s="70">
        <f>IF(OR(S22="",P22=""),"",IF(AND(S22="สูง",P22="ตัด D2"),"⚠ เสี่ยงสูงแต่เสนอตัด D2 — ควรทบทวน",IF(AND(S22="ต่ำ",P22="คง D2"),"ℹ เสี่ยงต่ำแต่เสนอคง D2 — อาจควบคุมเกินจำเป็น",IF(AND(P22="เปลี่ยนเป็นหน่วยงานผู้เชี่ยวชาญ",M22="No"),"⚠ เสนอโอน แต่ตอบว่ายังไม่มีผู้เชี่ยวชาญตรวจ",IF(AND(P22="เปลี่ยนเป็นหน่วยงานผู้เชี่ยวชาญ",Q22=""),"⚠ ยังไม่ระบุหน่วยงานผู้เชี่ยวชาญ","")))))</f>
        <v/>
      </c>
      <c r="U22" s="69">
        <f>IF(AND(P22="ตัด D2",ISNUMBER(D22),ISNUMBER(F22)),D22*F22,"")</f>
        <v/>
      </c>
      <c r="V22" s="73" t="n"/>
      <c r="W22" s="70">
        <f>IF(C22="","",IF(AND(ISNUMBER(D22),D22=0),"✔ ไม่เคยทำ (ข้าม)",IF(COUNTA(D22:P22)=0,"○ ยังไม่เริ่ม",IF(IF(D22="","จำนวน/ปี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","")="","✔ ครบ","⏳ ขาด: "&amp;TRIM(IF(D22="","จำนวน/ปี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",""))))))</f>
        <v/>
      </c>
    </row>
    <row r="23">
      <c r="A23" s="69" t="n">
        <v>17</v>
      </c>
      <c r="B23" s="70" t="inlineStr">
        <is>
          <t>การเงินและพัสดุ</t>
        </is>
      </c>
      <c r="C23" s="71" t="inlineStr">
        <is>
          <t>จัดซื้อที่มีวงเงินสูงผิดปกติ</t>
        </is>
      </c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69">
        <f>IF(COUNTA(G23:I23,M23)&lt;4,"",Settings!$C$5*(G23="Yes")+Settings!$C$6*(H23="Yes")+Settings!$C$7*(I23="Yes")+Settings!$C$8*(M23="No"))</f>
        <v/>
      </c>
      <c r="S23" s="69">
        <f>IF(R23="","",IF(R23&gt;=Settings!$C$13,"สูง",IF(R23&gt;=Settings!$C$12,"ปานกลาง","ต่ำ")))</f>
        <v/>
      </c>
      <c r="T23" s="70">
        <f>IF(OR(S23="",P23=""),"",IF(AND(S23="สูง",P23="ตัด D2"),"⚠ เสี่ยงสูงแต่เสนอตัด D2 — ควรทบทวน",IF(AND(S23="ต่ำ",P23="คง D2"),"ℹ เสี่ยงต่ำแต่เสนอคง D2 — อาจควบคุมเกินจำเป็น",IF(AND(P23="เปลี่ยนเป็นหน่วยงานผู้เชี่ยวชาญ",M23="No"),"⚠ เสนอโอน แต่ตอบว่ายังไม่มีผู้เชี่ยวชาญตรวจ",IF(AND(P23="เปลี่ยนเป็นหน่วยงานผู้เชี่ยวชาญ",Q23=""),"⚠ ยังไม่ระบุหน่วยงานผู้เชี่ยวชาญ","")))))</f>
        <v/>
      </c>
      <c r="U23" s="69">
        <f>IF(AND(P23="ตัด D2",ISNUMBER(D23),ISNUMBER(F23)),D23*F23,"")</f>
        <v/>
      </c>
      <c r="V23" s="73" t="n"/>
      <c r="W23" s="70">
        <f>IF(C23="","",IF(AND(ISNUMBER(D23),D23=0),"✔ ไม่เคยทำ (ข้าม)",IF(COUNTA(D23:P23)=0,"○ ยังไม่เริ่ม",IF(IF(D23="","จำนวน/ปี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","")="","✔ ครบ","⏳ ขาด: "&amp;TRIM(IF(D23="","จำนวน/ปี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",""))))))</f>
        <v/>
      </c>
    </row>
    <row r="24">
      <c r="A24" s="69" t="n">
        <v>18</v>
      </c>
      <c r="B24" s="70" t="inlineStr">
        <is>
          <t>การเงินและพัสดุ</t>
        </is>
      </c>
      <c r="C24" s="71" t="inlineStr">
        <is>
          <t>การก่อสร้างหรือปรับปรุงอาคาร</t>
        </is>
      </c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69">
        <f>IF(COUNTA(G24:I24,M24)&lt;4,"",Settings!$C$5*(G24="Yes")+Settings!$C$6*(H24="Yes")+Settings!$C$7*(I24="Yes")+Settings!$C$8*(M24="No"))</f>
        <v/>
      </c>
      <c r="S24" s="69">
        <f>IF(R24="","",IF(R24&gt;=Settings!$C$13,"สูง",IF(R24&gt;=Settings!$C$12,"ปานกลาง","ต่ำ")))</f>
        <v/>
      </c>
      <c r="T24" s="70">
        <f>IF(OR(S24="",P24=""),"",IF(AND(S24="สูง",P24="ตัด D2"),"⚠ เสี่ยงสูงแต่เสนอตัด D2 — ควรทบทวน",IF(AND(S24="ต่ำ",P24="คง D2"),"ℹ เสี่ยงต่ำแต่เสนอคง D2 — อาจควบคุมเกินจำเป็น",IF(AND(P24="เปลี่ยนเป็นหน่วยงานผู้เชี่ยวชาญ",M24="No"),"⚠ เสนอโอน แต่ตอบว่ายังไม่มีผู้เชี่ยวชาญตรวจ",IF(AND(P24="เปลี่ยนเป็นหน่วยงานผู้เชี่ยวชาญ",Q24=""),"⚠ ยังไม่ระบุหน่วยงานผู้เชี่ยวชาญ","")))))</f>
        <v/>
      </c>
      <c r="U24" s="69">
        <f>IF(AND(P24="ตัด D2",ISNUMBER(D24),ISNUMBER(F24)),D24*F24,"")</f>
        <v/>
      </c>
      <c r="V24" s="73" t="n"/>
      <c r="W24" s="70">
        <f>IF(C24="","",IF(AND(ISNUMBER(D24),D24=0),"✔ ไม่เคยทำ (ข้าม)",IF(COUNTA(D24:P24)=0,"○ ยังไม่เริ่ม",IF(IF(D24="","จำนวน/ปี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","")="","✔ ครบ","⏳ ขาด: "&amp;TRIM(IF(D24="","จำนวน/ปี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",""))))))</f>
        <v/>
      </c>
    </row>
    <row r="25">
      <c r="A25" s="69" t="n">
        <v>19</v>
      </c>
      <c r="B25" s="70" t="inlineStr">
        <is>
          <t>การเงินและพัสดุ</t>
        </is>
      </c>
      <c r="C25" s="71" t="inlineStr">
        <is>
          <t>การจัดซื้อที่มีข้อร้องเรียนหรือข้อทักท้วง</t>
        </is>
      </c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69">
        <f>IF(COUNTA(G25:I25,M25)&lt;4,"",Settings!$C$5*(G25="Yes")+Settings!$C$6*(H25="Yes")+Settings!$C$7*(I25="Yes")+Settings!$C$8*(M25="No"))</f>
        <v/>
      </c>
      <c r="S25" s="69">
        <f>IF(R25="","",IF(R25&gt;=Settings!$C$13,"สูง",IF(R25&gt;=Settings!$C$12,"ปานกลาง","ต่ำ")))</f>
        <v/>
      </c>
      <c r="T25" s="70">
        <f>IF(OR(S25="",P25=""),"",IF(AND(S25="สูง",P25="ตัด D2"),"⚠ เสี่ยงสูงแต่เสนอตัด D2 — ควรทบทวน",IF(AND(S25="ต่ำ",P25="คง D2"),"ℹ เสี่ยงต่ำแต่เสนอคง D2 — อาจควบคุมเกินจำเป็น",IF(AND(P25="เปลี่ยนเป็นหน่วยงานผู้เชี่ยวชาญ",M25="No"),"⚠ เสนอโอน แต่ตอบว่ายังไม่มีผู้เชี่ยวชาญตรวจ",IF(AND(P25="เปลี่ยนเป็นหน่วยงานผู้เชี่ยวชาญ",Q25=""),"⚠ ยังไม่ระบุหน่วยงานผู้เชี่ยวชาญ","")))))</f>
        <v/>
      </c>
      <c r="U25" s="69">
        <f>IF(AND(P25="ตัด D2",ISNUMBER(D25),ISNUMBER(F25)),D25*F25,"")</f>
        <v/>
      </c>
      <c r="V25" s="73" t="n"/>
      <c r="W25" s="70">
        <f>IF(C25="","",IF(AND(ISNUMBER(D25),D25=0),"✔ ไม่เคยทำ (ข้าม)",IF(COUNTA(D25:P25)=0,"○ ยังไม่เริ่ม",IF(IF(D25="","จำนวน/ปี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","")="","✔ ครบ","⏳ ขาด: "&amp;TRIM(IF(D25="","จำนวน/ปี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",""))))))</f>
        <v/>
      </c>
    </row>
    <row r="26">
      <c r="A26" s="69" t="n">
        <v>20</v>
      </c>
      <c r="B26" s="70" t="inlineStr">
        <is>
          <t>การเงินและพัสดุ</t>
        </is>
      </c>
      <c r="C26" s="71" t="inlineStr">
        <is>
          <t>การจัดซื้อจัดจ้างกรณียกเว้นหรือใช้ดุลยพินิจพิเศษ</t>
        </is>
      </c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69">
        <f>IF(COUNTA(G26:I26,M26)&lt;4,"",Settings!$C$5*(G26="Yes")+Settings!$C$6*(H26="Yes")+Settings!$C$7*(I26="Yes")+Settings!$C$8*(M26="No"))</f>
        <v/>
      </c>
      <c r="S26" s="69">
        <f>IF(R26="","",IF(R26&gt;=Settings!$C$13,"สูง",IF(R26&gt;=Settings!$C$12,"ปานกลาง","ต่ำ")))</f>
        <v/>
      </c>
      <c r="T26" s="70">
        <f>IF(OR(S26="",P26=""),"",IF(AND(S26="สูง",P26="ตัด D2"),"⚠ เสี่ยงสูงแต่เสนอตัด D2 — ควรทบทวน",IF(AND(S26="ต่ำ",P26="คง D2"),"ℹ เสี่ยงต่ำแต่เสนอคง D2 — อาจควบคุมเกินจำเป็น",IF(AND(P26="เปลี่ยนเป็นหน่วยงานผู้เชี่ยวชาญ",M26="No"),"⚠ เสนอโอน แต่ตอบว่ายังไม่มีผู้เชี่ยวชาญตรวจ",IF(AND(P26="เปลี่ยนเป็นหน่วยงานผู้เชี่ยวชาญ",Q26=""),"⚠ ยังไม่ระบุหน่วยงานผู้เชี่ยวชาญ","")))))</f>
        <v/>
      </c>
      <c r="U26" s="69">
        <f>IF(AND(P26="ตัด D2",ISNUMBER(D26),ISNUMBER(F26)),D26*F26,"")</f>
        <v/>
      </c>
      <c r="V26" s="73" t="n"/>
      <c r="W26" s="70">
        <f>IF(C26="","",IF(AND(ISNUMBER(D26),D26=0),"✔ ไม่เคยทำ (ข้าม)",IF(COUNTA(D26:P26)=0,"○ ยังไม่เริ่ม",IF(IF(D26="","จำนวน/ปี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","")="","✔ ครบ","⏳ ขาด: "&amp;TRIM(IF(D26="","จำนวน/ปี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",""))))))</f>
        <v/>
      </c>
    </row>
    <row r="27">
      <c r="A27" s="69" t="n">
        <v>21</v>
      </c>
      <c r="B27" s="70" t="inlineStr">
        <is>
          <t>โครงการและกิจกรรม</t>
        </is>
      </c>
      <c r="C27" s="71" t="inlineStr">
        <is>
          <t>โครงการตามแผนปฏิบัติการ</t>
        </is>
      </c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69">
        <f>IF(COUNTA(G27:I27,M27)&lt;4,"",Settings!$C$5*(G27="Yes")+Settings!$C$6*(H27="Yes")+Settings!$C$7*(I27="Yes")+Settings!$C$8*(M27="No"))</f>
        <v/>
      </c>
      <c r="S27" s="69">
        <f>IF(R27="","",IF(R27&gt;=Settings!$C$13,"สูง",IF(R27&gt;=Settings!$C$12,"ปานกลาง","ต่ำ")))</f>
        <v/>
      </c>
      <c r="T27" s="70">
        <f>IF(OR(S27="",P27=""),"",IF(AND(S27="สูง",P27="ตัด D2"),"⚠ เสี่ยงสูงแต่เสนอตัด D2 — ควรทบทวน",IF(AND(S27="ต่ำ",P27="คง D2"),"ℹ เสี่ยงต่ำแต่เสนอคง D2 — อาจควบคุมเกินจำเป็น",IF(AND(P27="เปลี่ยนเป็นหน่วยงานผู้เชี่ยวชาญ",M27="No"),"⚠ เสนอโอน แต่ตอบว่ายังไม่มีผู้เชี่ยวชาญตรวจ",IF(AND(P27="เปลี่ยนเป็นหน่วยงานผู้เชี่ยวชาญ",Q27=""),"⚠ ยังไม่ระบุหน่วยงานผู้เชี่ยวชาญ","")))))</f>
        <v/>
      </c>
      <c r="U27" s="69">
        <f>IF(AND(P27="ตัด D2",ISNUMBER(D27),ISNUMBER(F27)),D27*F27,"")</f>
        <v/>
      </c>
      <c r="V27" s="73" t="n"/>
      <c r="W27" s="70">
        <f>IF(C27="","",IF(AND(ISNUMBER(D27),D27=0),"✔ ไม่เคยทำ (ข้าม)",IF(COUNTA(D27:P27)=0,"○ ยังไม่เริ่ม",IF(IF(D27="","จำนวน/ปี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","")="","✔ ครบ","⏳ ขาด: "&amp;TRIM(IF(D27="","จำนวน/ปี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",""))))))</f>
        <v/>
      </c>
    </row>
    <row r="28">
      <c r="A28" s="69" t="n">
        <v>22</v>
      </c>
      <c r="B28" s="70" t="inlineStr">
        <is>
          <t>โครงการและกิจกรรม</t>
        </is>
      </c>
      <c r="C28" s="71" t="inlineStr">
        <is>
          <t>เปลี่ยนแปลงกำหนดการกิจกรรม/รายการงบประมาณในโครงการ (ที่ได้รับอนุมัติแล้ว)</t>
        </is>
      </c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69">
        <f>IF(COUNTA(G28:I28,M28)&lt;4,"",Settings!$C$5*(G28="Yes")+Settings!$C$6*(H28="Yes")+Settings!$C$7*(I28="Yes")+Settings!$C$8*(M28="No"))</f>
        <v/>
      </c>
      <c r="S28" s="69">
        <f>IF(R28="","",IF(R28&gt;=Settings!$C$13,"สูง",IF(R28&gt;=Settings!$C$12,"ปานกลาง","ต่ำ")))</f>
        <v/>
      </c>
      <c r="T28" s="70">
        <f>IF(OR(S28="",P28=""),"",IF(AND(S28="สูง",P28="ตัด D2"),"⚠ เสี่ยงสูงแต่เสนอตัด D2 — ควรทบทวน",IF(AND(S28="ต่ำ",P28="คง D2"),"ℹ เสี่ยงต่ำแต่เสนอคง D2 — อาจควบคุมเกินจำเป็น",IF(AND(P28="เปลี่ยนเป็นหน่วยงานผู้เชี่ยวชาญ",M28="No"),"⚠ เสนอโอน แต่ตอบว่ายังไม่มีผู้เชี่ยวชาญตรวจ",IF(AND(P28="เปลี่ยนเป็นหน่วยงานผู้เชี่ยวชาญ",Q28=""),"⚠ ยังไม่ระบุหน่วยงานผู้เชี่ยวชาญ","")))))</f>
        <v/>
      </c>
      <c r="U28" s="69">
        <f>IF(AND(P28="ตัด D2",ISNUMBER(D28),ISNUMBER(F28)),D28*F28,"")</f>
        <v/>
      </c>
      <c r="V28" s="73" t="n"/>
      <c r="W28" s="70">
        <f>IF(C28="","",IF(AND(ISNUMBER(D28),D28=0),"✔ ไม่เคยทำ (ข้าม)",IF(COUNTA(D28:P28)=0,"○ ยังไม่เริ่ม",IF(IF(D28="","จำนวน/ปี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","")="","✔ ครบ","⏳ ขาด: "&amp;TRIM(IF(D28="","จำนวน/ปี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",""))))))</f>
        <v/>
      </c>
    </row>
    <row r="29">
      <c r="A29" s="69" t="n">
        <v>23</v>
      </c>
      <c r="B29" s="70" t="inlineStr">
        <is>
          <t>โครงการและกิจกรรม</t>
        </is>
      </c>
      <c r="C29" s="71" t="inlineStr">
        <is>
          <t>รายงานผลโครงการ</t>
        </is>
      </c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69">
        <f>IF(COUNTA(G29:I29,M29)&lt;4,"",Settings!$C$5*(G29="Yes")+Settings!$C$6*(H29="Yes")+Settings!$C$7*(I29="Yes")+Settings!$C$8*(M29="No"))</f>
        <v/>
      </c>
      <c r="S29" s="69">
        <f>IF(R29="","",IF(R29&gt;=Settings!$C$13,"สูง",IF(R29&gt;=Settings!$C$12,"ปานกลาง","ต่ำ")))</f>
        <v/>
      </c>
      <c r="T29" s="70">
        <f>IF(OR(S29="",P29=""),"",IF(AND(S29="สูง",P29="ตัด D2"),"⚠ เสี่ยงสูงแต่เสนอตัด D2 — ควรทบทวน",IF(AND(S29="ต่ำ",P29="คง D2"),"ℹ เสี่ยงต่ำแต่เสนอคง D2 — อาจควบคุมเกินจำเป็น",IF(AND(P29="เปลี่ยนเป็นหน่วยงานผู้เชี่ยวชาญ",M29="No"),"⚠ เสนอโอน แต่ตอบว่ายังไม่มีผู้เชี่ยวชาญตรวจ",IF(AND(P29="เปลี่ยนเป็นหน่วยงานผู้เชี่ยวชาญ",Q29=""),"⚠ ยังไม่ระบุหน่วยงานผู้เชี่ยวชาญ","")))))</f>
        <v/>
      </c>
      <c r="U29" s="69">
        <f>IF(AND(P29="ตัด D2",ISNUMBER(D29),ISNUMBER(F29)),D29*F29,"")</f>
        <v/>
      </c>
      <c r="V29" s="73" t="n"/>
      <c r="W29" s="70">
        <f>IF(C29="","",IF(AND(ISNUMBER(D29),D29=0),"✔ ไม่เคยทำ (ข้าม)",IF(COUNTA(D29:P29)=0,"○ ยังไม่เริ่ม",IF(IF(D29="","จำนวน/ปี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","")="","✔ ครบ","⏳ ขาด: "&amp;TRIM(IF(D29="","จำนวน/ปี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",""))))))</f>
        <v/>
      </c>
    </row>
    <row r="30">
      <c r="A30" s="69" t="n">
        <v>24</v>
      </c>
      <c r="B30" s="70" t="inlineStr">
        <is>
          <t>โครงการและกิจกรรม</t>
        </is>
      </c>
      <c r="C30" s="71" t="inlineStr">
        <is>
          <t>โครงการนอกแผน</t>
        </is>
      </c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69">
        <f>IF(COUNTA(G30:I30,M30)&lt;4,"",Settings!$C$5*(G30="Yes")+Settings!$C$6*(H30="Yes")+Settings!$C$7*(I30="Yes")+Settings!$C$8*(M30="No"))</f>
        <v/>
      </c>
      <c r="S30" s="69">
        <f>IF(R30="","",IF(R30&gt;=Settings!$C$13,"สูง",IF(R30&gt;=Settings!$C$12,"ปานกลาง","ต่ำ")))</f>
        <v/>
      </c>
      <c r="T30" s="70">
        <f>IF(OR(S30="",P30=""),"",IF(AND(S30="สูง",P30="ตัด D2"),"⚠ เสี่ยงสูงแต่เสนอตัด D2 — ควรทบทวน",IF(AND(S30="ต่ำ",P30="คง D2"),"ℹ เสี่ยงต่ำแต่เสนอคง D2 — อาจควบคุมเกินจำเป็น",IF(AND(P30="เปลี่ยนเป็นหน่วยงานผู้เชี่ยวชาญ",M30="No"),"⚠ เสนอโอน แต่ตอบว่ายังไม่มีผู้เชี่ยวชาญตรวจ",IF(AND(P30="เปลี่ยนเป็นหน่วยงานผู้เชี่ยวชาญ",Q30=""),"⚠ ยังไม่ระบุหน่วยงานผู้เชี่ยวชาญ","")))))</f>
        <v/>
      </c>
      <c r="U30" s="69">
        <f>IF(AND(P30="ตัด D2",ISNUMBER(D30),ISNUMBER(F30)),D30*F30,"")</f>
        <v/>
      </c>
      <c r="V30" s="73" t="n"/>
      <c r="W30" s="70">
        <f>IF(C30="","",IF(AND(ISNUMBER(D30),D30=0),"✔ ไม่เคยทำ (ข้าม)",IF(COUNTA(D30:P30)=0,"○ ยังไม่เริ่ม",IF(IF(D30="","จำนวน/ปี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","")="","✔ ครบ","⏳ ขาด: "&amp;TRIM(IF(D30="","จำนวน/ปี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",""))))))</f>
        <v/>
      </c>
    </row>
    <row r="31">
      <c r="A31" s="69" t="n">
        <v>25</v>
      </c>
      <c r="B31" s="70" t="inlineStr">
        <is>
          <t>HR: บริหารเวลาปฏิบัติงาน (บุคลากรสายสนับสนุน)</t>
        </is>
      </c>
      <c r="C31" s="71" t="inlineStr">
        <is>
          <t>ลาพักผ่อน</t>
        </is>
      </c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69">
        <f>IF(COUNTA(G31:I31,M31)&lt;4,"",Settings!$C$5*(G31="Yes")+Settings!$C$6*(H31="Yes")+Settings!$C$7*(I31="Yes")+Settings!$C$8*(M31="No"))</f>
        <v/>
      </c>
      <c r="S31" s="69">
        <f>IF(R31="","",IF(R31&gt;=Settings!$C$13,"สูง",IF(R31&gt;=Settings!$C$12,"ปานกลาง","ต่ำ")))</f>
        <v/>
      </c>
      <c r="T31" s="70">
        <f>IF(OR(S31="",P31=""),"",IF(AND(S31="สูง",P31="ตัด D2"),"⚠ เสี่ยงสูงแต่เสนอตัด D2 — ควรทบทวน",IF(AND(S31="ต่ำ",P31="คง D2"),"ℹ เสี่ยงต่ำแต่เสนอคง D2 — อาจควบคุมเกินจำเป็น",IF(AND(P31="เปลี่ยนเป็นหน่วยงานผู้เชี่ยวชาญ",M31="No"),"⚠ เสนอโอน แต่ตอบว่ายังไม่มีผู้เชี่ยวชาญตรวจ",IF(AND(P31="เปลี่ยนเป็นหน่วยงานผู้เชี่ยวชาญ",Q31=""),"⚠ ยังไม่ระบุหน่วยงานผู้เชี่ยวชาญ","")))))</f>
        <v/>
      </c>
      <c r="U31" s="69">
        <f>IF(AND(P31="ตัด D2",ISNUMBER(D31),ISNUMBER(F31)),D31*F31,"")</f>
        <v/>
      </c>
      <c r="V31" s="73" t="n"/>
      <c r="W31" s="70">
        <f>IF(C31="","",IF(AND(ISNUMBER(D31),D31=0),"✔ ไม่เคยทำ (ข้าม)",IF(COUNTA(D31:P31)=0,"○ ยังไม่เริ่ม",IF(IF(D31="","จำนวน/ปี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","")="","✔ ครบ","⏳ ขาด: "&amp;TRIM(IF(D31="","จำนวน/ปี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",""))))))</f>
        <v/>
      </c>
    </row>
    <row r="32">
      <c r="A32" s="69" t="n">
        <v>26</v>
      </c>
      <c r="B32" s="70" t="inlineStr">
        <is>
          <t>HR: บริหารเวลาปฏิบัติงาน (บุคลากรสายสนับสนุน)</t>
        </is>
      </c>
      <c r="C32" s="71" t="inlineStr">
        <is>
          <t>ลาป่วย</t>
        </is>
      </c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69">
        <f>IF(COUNTA(G32:I32,M32)&lt;4,"",Settings!$C$5*(G32="Yes")+Settings!$C$6*(H32="Yes")+Settings!$C$7*(I32="Yes")+Settings!$C$8*(M32="No"))</f>
        <v/>
      </c>
      <c r="S32" s="69">
        <f>IF(R32="","",IF(R32&gt;=Settings!$C$13,"สูง",IF(R32&gt;=Settings!$C$12,"ปานกลาง","ต่ำ")))</f>
        <v/>
      </c>
      <c r="T32" s="70">
        <f>IF(OR(S32="",P32=""),"",IF(AND(S32="สูง",P32="ตัด D2"),"⚠ เสี่ยงสูงแต่เสนอตัด D2 — ควรทบทวน",IF(AND(S32="ต่ำ",P32="คง D2"),"ℹ เสี่ยงต่ำแต่เสนอคง D2 — อาจควบคุมเกินจำเป็น",IF(AND(P32="เปลี่ยนเป็นหน่วยงานผู้เชี่ยวชาญ",M32="No"),"⚠ เสนอโอน แต่ตอบว่ายังไม่มีผู้เชี่ยวชาญตรวจ",IF(AND(P32="เปลี่ยนเป็นหน่วยงานผู้เชี่ยวชาญ",Q32=""),"⚠ ยังไม่ระบุหน่วยงานผู้เชี่ยวชาญ","")))))</f>
        <v/>
      </c>
      <c r="U32" s="69">
        <f>IF(AND(P32="ตัด D2",ISNUMBER(D32),ISNUMBER(F32)),D32*F32,"")</f>
        <v/>
      </c>
      <c r="V32" s="73" t="n"/>
      <c r="W32" s="70">
        <f>IF(C32="","",IF(AND(ISNUMBER(D32),D32=0),"✔ ไม่เคยทำ (ข้าม)",IF(COUNTA(D32:P32)=0,"○ ยังไม่เริ่ม",IF(IF(D32="","จำนวน/ปี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","")="","✔ ครบ","⏳ ขาด: "&amp;TRIM(IF(D32="","จำนวน/ปี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",""))))))</f>
        <v/>
      </c>
    </row>
    <row r="33">
      <c r="A33" s="69" t="n">
        <v>27</v>
      </c>
      <c r="B33" s="70" t="inlineStr">
        <is>
          <t>HR: บริหารเวลาปฏิบัติงาน (บุคลากรสายสนับสนุน)</t>
        </is>
      </c>
      <c r="C33" s="71" t="inlineStr">
        <is>
          <t>ลากิจ</t>
        </is>
      </c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69">
        <f>IF(COUNTA(G33:I33,M33)&lt;4,"",Settings!$C$5*(G33="Yes")+Settings!$C$6*(H33="Yes")+Settings!$C$7*(I33="Yes")+Settings!$C$8*(M33="No"))</f>
        <v/>
      </c>
      <c r="S33" s="69">
        <f>IF(R33="","",IF(R33&gt;=Settings!$C$13,"สูง",IF(R33&gt;=Settings!$C$12,"ปานกลาง","ต่ำ")))</f>
        <v/>
      </c>
      <c r="T33" s="70">
        <f>IF(OR(S33="",P33=""),"",IF(AND(S33="สูง",P33="ตัด D2"),"⚠ เสี่ยงสูงแต่เสนอตัด D2 — ควรทบทวน",IF(AND(S33="ต่ำ",P33="คง D2"),"ℹ เสี่ยงต่ำแต่เสนอคง D2 — อาจควบคุมเกินจำเป็น",IF(AND(P33="เปลี่ยนเป็นหน่วยงานผู้เชี่ยวชาญ",M33="No"),"⚠ เสนอโอน แต่ตอบว่ายังไม่มีผู้เชี่ยวชาญตรวจ",IF(AND(P33="เปลี่ยนเป็นหน่วยงานผู้เชี่ยวชาญ",Q33=""),"⚠ ยังไม่ระบุหน่วยงานผู้เชี่ยวชาญ","")))))</f>
        <v/>
      </c>
      <c r="U33" s="69">
        <f>IF(AND(P33="ตัด D2",ISNUMBER(D33),ISNUMBER(F33)),D33*F33,"")</f>
        <v/>
      </c>
      <c r="V33" s="73" t="n"/>
      <c r="W33" s="70">
        <f>IF(C33="","",IF(AND(ISNUMBER(D33),D33=0),"✔ ไม่เคยทำ (ข้าม)",IF(COUNTA(D33:P33)=0,"○ ยังไม่เริ่ม",IF(IF(D33="","จำนวน/ปี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","")="","✔ ครบ","⏳ ขาด: "&amp;TRIM(IF(D33="","จำนวน/ปี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",""))))))</f>
        <v/>
      </c>
    </row>
    <row r="34">
      <c r="A34" s="69" t="n">
        <v>28</v>
      </c>
      <c r="B34" s="70" t="inlineStr">
        <is>
          <t>HR: บริหารเวลาปฏิบัติงาน (บุคลากรสายสนับสนุน)</t>
        </is>
      </c>
      <c r="C34" s="71" t="inlineStr">
        <is>
          <t>ลาคลอด</t>
        </is>
      </c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69">
        <f>IF(COUNTA(G34:I34,M34)&lt;4,"",Settings!$C$5*(G34="Yes")+Settings!$C$6*(H34="Yes")+Settings!$C$7*(I34="Yes")+Settings!$C$8*(M34="No"))</f>
        <v/>
      </c>
      <c r="S34" s="69">
        <f>IF(R34="","",IF(R34&gt;=Settings!$C$13,"สูง",IF(R34&gt;=Settings!$C$12,"ปานกลาง","ต่ำ")))</f>
        <v/>
      </c>
      <c r="T34" s="70">
        <f>IF(OR(S34="",P34=""),"",IF(AND(S34="สูง",P34="ตัด D2"),"⚠ เสี่ยงสูงแต่เสนอตัด D2 — ควรทบทวน",IF(AND(S34="ต่ำ",P34="คง D2"),"ℹ เสี่ยงต่ำแต่เสนอคง D2 — อาจควบคุมเกินจำเป็น",IF(AND(P34="เปลี่ยนเป็นหน่วยงานผู้เชี่ยวชาญ",M34="No"),"⚠ เสนอโอน แต่ตอบว่ายังไม่มีผู้เชี่ยวชาญตรวจ",IF(AND(P34="เปลี่ยนเป็นหน่วยงานผู้เชี่ยวชาญ",Q34=""),"⚠ ยังไม่ระบุหน่วยงานผู้เชี่ยวชาญ","")))))</f>
        <v/>
      </c>
      <c r="U34" s="69">
        <f>IF(AND(P34="ตัด D2",ISNUMBER(D34),ISNUMBER(F34)),D34*F34,"")</f>
        <v/>
      </c>
      <c r="V34" s="73" t="n"/>
      <c r="W34" s="70">
        <f>IF(C34="","",IF(AND(ISNUMBER(D34),D34=0),"✔ ไม่เคยทำ (ข้าม)",IF(COUNTA(D34:P34)=0,"○ ยังไม่เริ่ม",IF(IF(D34="","จำนวน/ปี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","")="","✔ ครบ","⏳ ขาด: "&amp;TRIM(IF(D34="","จำนวน/ปี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",""))))))</f>
        <v/>
      </c>
    </row>
    <row r="35">
      <c r="A35" s="69" t="n">
        <v>29</v>
      </c>
      <c r="B35" s="70" t="inlineStr">
        <is>
          <t>HR: บริหารเวลาปฏิบัติงาน (บุคลากรสายสนับสนุน)</t>
        </is>
      </c>
      <c r="C35" s="71" t="inlineStr">
        <is>
          <t>ลาอุปสมบท</t>
        </is>
      </c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69">
        <f>IF(COUNTA(G35:I35,M35)&lt;4,"",Settings!$C$5*(G35="Yes")+Settings!$C$6*(H35="Yes")+Settings!$C$7*(I35="Yes")+Settings!$C$8*(M35="No"))</f>
        <v/>
      </c>
      <c r="S35" s="69">
        <f>IF(R35="","",IF(R35&gt;=Settings!$C$13,"สูง",IF(R35&gt;=Settings!$C$12,"ปานกลาง","ต่ำ")))</f>
        <v/>
      </c>
      <c r="T35" s="70">
        <f>IF(OR(S35="",P35=""),"",IF(AND(S35="สูง",P35="ตัด D2"),"⚠ เสี่ยงสูงแต่เสนอตัด D2 — ควรทบทวน",IF(AND(S35="ต่ำ",P35="คง D2"),"ℹ เสี่ยงต่ำแต่เสนอคง D2 — อาจควบคุมเกินจำเป็น",IF(AND(P35="เปลี่ยนเป็นหน่วยงานผู้เชี่ยวชาญ",M35="No"),"⚠ เสนอโอน แต่ตอบว่ายังไม่มีผู้เชี่ยวชาญตรวจ",IF(AND(P35="เปลี่ยนเป็นหน่วยงานผู้เชี่ยวชาญ",Q35=""),"⚠ ยังไม่ระบุหน่วยงานผู้เชี่ยวชาญ","")))))</f>
        <v/>
      </c>
      <c r="U35" s="69">
        <f>IF(AND(P35="ตัด D2",ISNUMBER(D35),ISNUMBER(F35)),D35*F35,"")</f>
        <v/>
      </c>
      <c r="V35" s="73" t="n"/>
      <c r="W35" s="70">
        <f>IF(C35="","",IF(AND(ISNUMBER(D35),D35=0),"✔ ไม่เคยทำ (ข้าม)",IF(COUNTA(D35:P35)=0,"○ ยังไม่เริ่ม",IF(IF(D35="","จำนวน/ปี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","")="","✔ ครบ","⏳ ขาด: "&amp;TRIM(IF(D35="","จำนวน/ปี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",""))))))</f>
        <v/>
      </c>
    </row>
    <row r="36">
      <c r="A36" s="69" t="n">
        <v>30</v>
      </c>
      <c r="B36" s="70" t="inlineStr">
        <is>
          <t>HR: บริหารเวลาปฏิบัติงาน (บุคลากรสายสนับสนุน)</t>
        </is>
      </c>
      <c r="C36" s="71" t="inlineStr">
        <is>
          <t>ลาไปช่วยเหลือภริยาคลอดบุตร</t>
        </is>
      </c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69">
        <f>IF(COUNTA(G36:I36,M36)&lt;4,"",Settings!$C$5*(G36="Yes")+Settings!$C$6*(H36="Yes")+Settings!$C$7*(I36="Yes")+Settings!$C$8*(M36="No"))</f>
        <v/>
      </c>
      <c r="S36" s="69">
        <f>IF(R36="","",IF(R36&gt;=Settings!$C$13,"สูง",IF(R36&gt;=Settings!$C$12,"ปานกลาง","ต่ำ")))</f>
        <v/>
      </c>
      <c r="T36" s="70">
        <f>IF(OR(S36="",P36=""),"",IF(AND(S36="สูง",P36="ตัด D2"),"⚠ เสี่ยงสูงแต่เสนอตัด D2 — ควรทบทวน",IF(AND(S36="ต่ำ",P36="คง D2"),"ℹ เสี่ยงต่ำแต่เสนอคง D2 — อาจควบคุมเกินจำเป็น",IF(AND(P36="เปลี่ยนเป็นหน่วยงานผู้เชี่ยวชาญ",M36="No"),"⚠ เสนอโอน แต่ตอบว่ายังไม่มีผู้เชี่ยวชาญตรวจ",IF(AND(P36="เปลี่ยนเป็นหน่วยงานผู้เชี่ยวชาญ",Q36=""),"⚠ ยังไม่ระบุหน่วยงานผู้เชี่ยวชาญ","")))))</f>
        <v/>
      </c>
      <c r="U36" s="69">
        <f>IF(AND(P36="ตัด D2",ISNUMBER(D36),ISNUMBER(F36)),D36*F36,"")</f>
        <v/>
      </c>
      <c r="V36" s="73" t="n"/>
      <c r="W36" s="70">
        <f>IF(C36="","",IF(AND(ISNUMBER(D36),D36=0),"✔ ไม่เคยทำ (ข้าม)",IF(COUNTA(D36:P36)=0,"○ ยังไม่เริ่ม",IF(IF(D36="","จำนวน/ปี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","")="","✔ ครบ","⏳ ขาด: "&amp;TRIM(IF(D36="","จำนวน/ปี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",""))))))</f>
        <v/>
      </c>
    </row>
    <row r="37">
      <c r="A37" s="69" t="n">
        <v>31</v>
      </c>
      <c r="B37" s="70" t="inlineStr">
        <is>
          <t>HR: บริหารเวลาปฏิบัติงาน (บุคลากรสายสนับสนุน)</t>
        </is>
      </c>
      <c r="C37" s="71" t="inlineStr">
        <is>
          <t>ปฏิบัติงานนอกสถานที่</t>
        </is>
      </c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69">
        <f>IF(COUNTA(G37:I37,M37)&lt;4,"",Settings!$C$5*(G37="Yes")+Settings!$C$6*(H37="Yes")+Settings!$C$7*(I37="Yes")+Settings!$C$8*(M37="No"))</f>
        <v/>
      </c>
      <c r="S37" s="69">
        <f>IF(R37="","",IF(R37&gt;=Settings!$C$13,"สูง",IF(R37&gt;=Settings!$C$12,"ปานกลาง","ต่ำ")))</f>
        <v/>
      </c>
      <c r="T37" s="70">
        <f>IF(OR(S37="",P37=""),"",IF(AND(S37="สูง",P37="ตัด D2"),"⚠ เสี่ยงสูงแต่เสนอตัด D2 — ควรทบทวน",IF(AND(S37="ต่ำ",P37="คง D2"),"ℹ เสี่ยงต่ำแต่เสนอคง D2 — อาจควบคุมเกินจำเป็น",IF(AND(P37="เปลี่ยนเป็นหน่วยงานผู้เชี่ยวชาญ",M37="No"),"⚠ เสนอโอน แต่ตอบว่ายังไม่มีผู้เชี่ยวชาญตรวจ",IF(AND(P37="เปลี่ยนเป็นหน่วยงานผู้เชี่ยวชาญ",Q37=""),"⚠ ยังไม่ระบุหน่วยงานผู้เชี่ยวชาญ","")))))</f>
        <v/>
      </c>
      <c r="U37" s="69">
        <f>IF(AND(P37="ตัด D2",ISNUMBER(D37),ISNUMBER(F37)),D37*F37,"")</f>
        <v/>
      </c>
      <c r="V37" s="73" t="n"/>
      <c r="W37" s="70">
        <f>IF(C37="","",IF(AND(ISNUMBER(D37),D37=0),"✔ ไม่เคยทำ (ข้าม)",IF(COUNTA(D37:P37)=0,"○ ยังไม่เริ่ม",IF(IF(D37="","จำนวน/ปี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","")="","✔ ครบ","⏳ ขาด: "&amp;TRIM(IF(D37="","จำนวน/ปี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",""))))))</f>
        <v/>
      </c>
    </row>
    <row r="38">
      <c r="A38" s="69" t="n">
        <v>32</v>
      </c>
      <c r="B38" s="70" t="inlineStr">
        <is>
          <t>HR: พัฒนาบุคลากร</t>
        </is>
      </c>
      <c r="C38" s="71" t="inlineStr">
        <is>
          <t>อบรมในประเทศ/ประชุมวิชาการ/สัมมนา/ศึกษาดูงานในประเทศ</t>
        </is>
      </c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69">
        <f>IF(COUNTA(G38:I38,M38)&lt;4,"",Settings!$C$5*(G38="Yes")+Settings!$C$6*(H38="Yes")+Settings!$C$7*(I38="Yes")+Settings!$C$8*(M38="No"))</f>
        <v/>
      </c>
      <c r="S38" s="69">
        <f>IF(R38="","",IF(R38&gt;=Settings!$C$13,"สูง",IF(R38&gt;=Settings!$C$12,"ปานกลาง","ต่ำ")))</f>
        <v/>
      </c>
      <c r="T38" s="70">
        <f>IF(OR(S38="",P38=""),"",IF(AND(S38="สูง",P38="ตัด D2"),"⚠ เสี่ยงสูงแต่เสนอตัด D2 — ควรทบทวน",IF(AND(S38="ต่ำ",P38="คง D2"),"ℹ เสี่ยงต่ำแต่เสนอคง D2 — อาจควบคุมเกินจำเป็น",IF(AND(P38="เปลี่ยนเป็นหน่วยงานผู้เชี่ยวชาญ",M38="No"),"⚠ เสนอโอน แต่ตอบว่ายังไม่มีผู้เชี่ยวชาญตรวจ",IF(AND(P38="เปลี่ยนเป็นหน่วยงานผู้เชี่ยวชาญ",Q38=""),"⚠ ยังไม่ระบุหน่วยงานผู้เชี่ยวชาญ","")))))</f>
        <v/>
      </c>
      <c r="U38" s="69">
        <f>IF(AND(P38="ตัด D2",ISNUMBER(D38),ISNUMBER(F38)),D38*F38,"")</f>
        <v/>
      </c>
      <c r="V38" s="73" t="n"/>
      <c r="W38" s="70">
        <f>IF(C38="","",IF(AND(ISNUMBER(D38),D38=0),"✔ ไม่เคยทำ (ข้าม)",IF(COUNTA(D38:P38)=0,"○ ยังไม่เริ่ม",IF(IF(D38="","จำนวน/ปี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","")="","✔ ครบ","⏳ ขาด: "&amp;TRIM(IF(D38="","จำนวน/ปี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",""))))))</f>
        <v/>
      </c>
    </row>
    <row r="39">
      <c r="A39" s="69" t="n">
        <v>33</v>
      </c>
      <c r="B39" s="70" t="inlineStr">
        <is>
          <t>HR: พัฒนาบุคลากร</t>
        </is>
      </c>
      <c r="C39" s="71" t="inlineStr">
        <is>
          <t>เข้าร่วมโครงการแลกเปลี่ยนระยะสั้น/ศึกษาดูงาน/อบรมต่างประเทศ/ศึกษาต่อ</t>
        </is>
      </c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69">
        <f>IF(COUNTA(G39:I39,M39)&lt;4,"",Settings!$C$5*(G39="Yes")+Settings!$C$6*(H39="Yes")+Settings!$C$7*(I39="Yes")+Settings!$C$8*(M39="No"))</f>
        <v/>
      </c>
      <c r="S39" s="69">
        <f>IF(R39="","",IF(R39&gt;=Settings!$C$13,"สูง",IF(R39&gt;=Settings!$C$12,"ปานกลาง","ต่ำ")))</f>
        <v/>
      </c>
      <c r="T39" s="70">
        <f>IF(OR(S39="",P39=""),"",IF(AND(S39="สูง",P39="ตัด D2"),"⚠ เสี่ยงสูงแต่เสนอตัด D2 — ควรทบทวน",IF(AND(S39="ต่ำ",P39="คง D2"),"ℹ เสี่ยงต่ำแต่เสนอคง D2 — อาจควบคุมเกินจำเป็น",IF(AND(P39="เปลี่ยนเป็นหน่วยงานผู้เชี่ยวชาญ",M39="No"),"⚠ เสนอโอน แต่ตอบว่ายังไม่มีผู้เชี่ยวชาญตรวจ",IF(AND(P39="เปลี่ยนเป็นหน่วยงานผู้เชี่ยวชาญ",Q39=""),"⚠ ยังไม่ระบุหน่วยงานผู้เชี่ยวชาญ","")))))</f>
        <v/>
      </c>
      <c r="U39" s="69">
        <f>IF(AND(P39="ตัด D2",ISNUMBER(D39),ISNUMBER(F39)),D39*F39,"")</f>
        <v/>
      </c>
      <c r="V39" s="73" t="n"/>
      <c r="W39" s="70">
        <f>IF(C39="","",IF(AND(ISNUMBER(D39),D39=0),"✔ ไม่เคยทำ (ข้าม)",IF(COUNTA(D39:P39)=0,"○ ยังไม่เริ่ม",IF(IF(D39="","จำนวน/ปี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","")="","✔ ครบ","⏳ ขาด: "&amp;TRIM(IF(D39="","จำนวน/ปี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",""))))))</f>
        <v/>
      </c>
    </row>
    <row r="40">
      <c r="A40" s="69" t="n">
        <v>34</v>
      </c>
      <c r="B40" s="70" t="inlineStr">
        <is>
          <t>HR: อัตรากำลังและสรรหา</t>
        </is>
      </c>
      <c r="C40" s="71" t="inlineStr">
        <is>
          <t>ขอทดแทนอัตราว่าง</t>
        </is>
      </c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69">
        <f>IF(COUNTA(G40:I40,M40)&lt;4,"",Settings!$C$5*(G40="Yes")+Settings!$C$6*(H40="Yes")+Settings!$C$7*(I40="Yes")+Settings!$C$8*(M40="No"))</f>
        <v/>
      </c>
      <c r="S40" s="69">
        <f>IF(R40="","",IF(R40&gt;=Settings!$C$13,"สูง",IF(R40&gt;=Settings!$C$12,"ปานกลาง","ต่ำ")))</f>
        <v/>
      </c>
      <c r="T40" s="70">
        <f>IF(OR(S40="",P40=""),"",IF(AND(S40="สูง",P40="ตัด D2"),"⚠ เสี่ยงสูงแต่เสนอตัด D2 — ควรทบทวน",IF(AND(S40="ต่ำ",P40="คง D2"),"ℹ เสี่ยงต่ำแต่เสนอคง D2 — อาจควบคุมเกินจำเป็น",IF(AND(P40="เปลี่ยนเป็นหน่วยงานผู้เชี่ยวชาญ",M40="No"),"⚠ เสนอโอน แต่ตอบว่ายังไม่มีผู้เชี่ยวชาญตรวจ",IF(AND(P40="เปลี่ยนเป็นหน่วยงานผู้เชี่ยวชาญ",Q40=""),"⚠ ยังไม่ระบุหน่วยงานผู้เชี่ยวชาญ","")))))</f>
        <v/>
      </c>
      <c r="U40" s="69">
        <f>IF(AND(P40="ตัด D2",ISNUMBER(D40),ISNUMBER(F40)),D40*F40,"")</f>
        <v/>
      </c>
      <c r="V40" s="73" t="n"/>
      <c r="W40" s="70">
        <f>IF(C40="","",IF(AND(ISNUMBER(D40),D40=0),"✔ ไม่เคยทำ (ข้าม)",IF(COUNTA(D40:P40)=0,"○ ยังไม่เริ่ม",IF(IF(D40="","จำนวน/ปี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","")="","✔ ครบ","⏳ ขาด: "&amp;TRIM(IF(D40="","จำนวน/ปี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",""))))))</f>
        <v/>
      </c>
    </row>
    <row r="41">
      <c r="A41" s="69" t="n">
        <v>35</v>
      </c>
      <c r="B41" s="70" t="inlineStr">
        <is>
          <t>HR: อัตรากำลังและสรรหา</t>
        </is>
      </c>
      <c r="C41" s="71" t="inlineStr">
        <is>
          <t>ขอกรอบอัตรากำลังใหม่</t>
        </is>
      </c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69">
        <f>IF(COUNTA(G41:I41,M41)&lt;4,"",Settings!$C$5*(G41="Yes")+Settings!$C$6*(H41="Yes")+Settings!$C$7*(I41="Yes")+Settings!$C$8*(M41="No"))</f>
        <v/>
      </c>
      <c r="S41" s="69">
        <f>IF(R41="","",IF(R41&gt;=Settings!$C$13,"สูง",IF(R41&gt;=Settings!$C$12,"ปานกลาง","ต่ำ")))</f>
        <v/>
      </c>
      <c r="T41" s="70">
        <f>IF(OR(S41="",P41=""),"",IF(AND(S41="สูง",P41="ตัด D2"),"⚠ เสี่ยงสูงแต่เสนอตัด D2 — ควรทบทวน",IF(AND(S41="ต่ำ",P41="คง D2"),"ℹ เสี่ยงต่ำแต่เสนอคง D2 — อาจควบคุมเกินจำเป็น",IF(AND(P41="เปลี่ยนเป็นหน่วยงานผู้เชี่ยวชาญ",M41="No"),"⚠ เสนอโอน แต่ตอบว่ายังไม่มีผู้เชี่ยวชาญตรวจ",IF(AND(P41="เปลี่ยนเป็นหน่วยงานผู้เชี่ยวชาญ",Q41=""),"⚠ ยังไม่ระบุหน่วยงานผู้เชี่ยวชาญ","")))))</f>
        <v/>
      </c>
      <c r="U41" s="69">
        <f>IF(AND(P41="ตัด D2",ISNUMBER(D41),ISNUMBER(F41)),D41*F41,"")</f>
        <v/>
      </c>
      <c r="V41" s="73" t="n"/>
      <c r="W41" s="70">
        <f>IF(C41="","",IF(AND(ISNUMBER(D41),D41=0),"✔ ไม่เคยทำ (ข้าม)",IF(COUNTA(D41:P41)=0,"○ ยังไม่เริ่ม",IF(IF(D41="","จำนวน/ปี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","")="","✔ ครบ","⏳ ขาด: "&amp;TRIM(IF(D41="","จำนวน/ปี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",""))))))</f>
        <v/>
      </c>
    </row>
    <row r="42">
      <c r="A42" s="69" t="n">
        <v>36</v>
      </c>
      <c r="B42" s="70" t="inlineStr">
        <is>
          <t>HR: อัตรากำลังและสรรหา</t>
        </is>
      </c>
      <c r="C42" s="71" t="inlineStr">
        <is>
          <t>ขอจ้างพนักงานชั่วคราว</t>
        </is>
      </c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69">
        <f>IF(COUNTA(G42:I42,M42)&lt;4,"",Settings!$C$5*(G42="Yes")+Settings!$C$6*(H42="Yes")+Settings!$C$7*(I42="Yes")+Settings!$C$8*(M42="No"))</f>
        <v/>
      </c>
      <c r="S42" s="69">
        <f>IF(R42="","",IF(R42&gt;=Settings!$C$13,"สูง",IF(R42&gt;=Settings!$C$12,"ปานกลาง","ต่ำ")))</f>
        <v/>
      </c>
      <c r="T42" s="70">
        <f>IF(OR(S42="",P42=""),"",IF(AND(S42="สูง",P42="ตัด D2"),"⚠ เสี่ยงสูงแต่เสนอตัด D2 — ควรทบทวน",IF(AND(S42="ต่ำ",P42="คง D2"),"ℹ เสี่ยงต่ำแต่เสนอคง D2 — อาจควบคุมเกินจำเป็น",IF(AND(P42="เปลี่ยนเป็นหน่วยงานผู้เชี่ยวชาญ",M42="No"),"⚠ เสนอโอน แต่ตอบว่ายังไม่มีผู้เชี่ยวชาญตรวจ",IF(AND(P42="เปลี่ยนเป็นหน่วยงานผู้เชี่ยวชาญ",Q42=""),"⚠ ยังไม่ระบุหน่วยงานผู้เชี่ยวชาญ","")))))</f>
        <v/>
      </c>
      <c r="U42" s="69">
        <f>IF(AND(P42="ตัด D2",ISNUMBER(D42),ISNUMBER(F42)),D42*F42,"")</f>
        <v/>
      </c>
      <c r="V42" s="73" t="n"/>
      <c r="W42" s="70">
        <f>IF(C42="","",IF(AND(ISNUMBER(D42),D42=0),"✔ ไม่เคยทำ (ข้าม)",IF(COUNTA(D42:P42)=0,"○ ยังไม่เริ่ม",IF(IF(D42="","จำนวน/ปี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","")="","✔ ครบ","⏳ ขาด: "&amp;TRIM(IF(D42="","จำนวน/ปี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",""))))))</f>
        <v/>
      </c>
    </row>
    <row r="43">
      <c r="A43" s="69" t="n">
        <v>37</v>
      </c>
      <c r="B43" s="70" t="inlineStr">
        <is>
          <t>HR: อัตรากำลังและสรรหา</t>
        </is>
      </c>
      <c r="C43" s="71" t="inlineStr">
        <is>
          <t>ต่อสัญญาจ้าง</t>
        </is>
      </c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69">
        <f>IF(COUNTA(G43:I43,M43)&lt;4,"",Settings!$C$5*(G43="Yes")+Settings!$C$6*(H43="Yes")+Settings!$C$7*(I43="Yes")+Settings!$C$8*(M43="No"))</f>
        <v/>
      </c>
      <c r="S43" s="69">
        <f>IF(R43="","",IF(R43&gt;=Settings!$C$13,"สูง",IF(R43&gt;=Settings!$C$12,"ปานกลาง","ต่ำ")))</f>
        <v/>
      </c>
      <c r="T43" s="70">
        <f>IF(OR(S43="",P43=""),"",IF(AND(S43="สูง",P43="ตัด D2"),"⚠ เสี่ยงสูงแต่เสนอตัด D2 — ควรทบทวน",IF(AND(S43="ต่ำ",P43="คง D2"),"ℹ เสี่ยงต่ำแต่เสนอคง D2 — อาจควบคุมเกินจำเป็น",IF(AND(P43="เปลี่ยนเป็นหน่วยงานผู้เชี่ยวชาญ",M43="No"),"⚠ เสนอโอน แต่ตอบว่ายังไม่มีผู้เชี่ยวชาญตรวจ",IF(AND(P43="เปลี่ยนเป็นหน่วยงานผู้เชี่ยวชาญ",Q43=""),"⚠ ยังไม่ระบุหน่วยงานผู้เชี่ยวชาญ","")))))</f>
        <v/>
      </c>
      <c r="U43" s="69">
        <f>IF(AND(P43="ตัด D2",ISNUMBER(D43),ISNUMBER(F43)),D43*F43,"")</f>
        <v/>
      </c>
      <c r="V43" s="73" t="n"/>
      <c r="W43" s="70">
        <f>IF(C43="","",IF(AND(ISNUMBER(D43),D43=0),"✔ ไม่เคยทำ (ข้าม)",IF(COUNTA(D43:P43)=0,"○ ยังไม่เริ่ม",IF(IF(D43="","จำนวน/ปี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","")="","✔ ครบ","⏳ ขาด: "&amp;TRIM(IF(D43="","จำนวน/ปี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",""))))))</f>
        <v/>
      </c>
    </row>
    <row r="44">
      <c r="A44" s="69" t="n">
        <v>38</v>
      </c>
      <c r="B44" s="70" t="inlineStr">
        <is>
          <t>HR: อัตรากำลังและสรรหา</t>
        </is>
      </c>
      <c r="C44" s="71" t="inlineStr">
        <is>
          <t>กำหนดกรอบภาระงานใหม่</t>
        </is>
      </c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69">
        <f>IF(COUNTA(G44:I44,M44)&lt;4,"",Settings!$C$5*(G44="Yes")+Settings!$C$6*(H44="Yes")+Settings!$C$7*(I44="Yes")+Settings!$C$8*(M44="No"))</f>
        <v/>
      </c>
      <c r="S44" s="69">
        <f>IF(R44="","",IF(R44&gt;=Settings!$C$13,"สูง",IF(R44&gt;=Settings!$C$12,"ปานกลาง","ต่ำ")))</f>
        <v/>
      </c>
      <c r="T44" s="70">
        <f>IF(OR(S44="",P44=""),"",IF(AND(S44="สูง",P44="ตัด D2"),"⚠ เสี่ยงสูงแต่เสนอตัด D2 — ควรทบทวน",IF(AND(S44="ต่ำ",P44="คง D2"),"ℹ เสี่ยงต่ำแต่เสนอคง D2 — อาจควบคุมเกินจำเป็น",IF(AND(P44="เปลี่ยนเป็นหน่วยงานผู้เชี่ยวชาญ",M44="No"),"⚠ เสนอโอน แต่ตอบว่ายังไม่มีผู้เชี่ยวชาญตรวจ",IF(AND(P44="เปลี่ยนเป็นหน่วยงานผู้เชี่ยวชาญ",Q44=""),"⚠ ยังไม่ระบุหน่วยงานผู้เชี่ยวชาญ","")))))</f>
        <v/>
      </c>
      <c r="U44" s="69">
        <f>IF(AND(P44="ตัด D2",ISNUMBER(D44),ISNUMBER(F44)),D44*F44,"")</f>
        <v/>
      </c>
      <c r="V44" s="73" t="n"/>
      <c r="W44" s="70">
        <f>IF(C44="","",IF(AND(ISNUMBER(D44),D44=0),"✔ ไม่เคยทำ (ข้าม)",IF(COUNTA(D44:P44)=0,"○ ยังไม่เริ่ม",IF(IF(D44="","จำนวน/ปี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","")="","✔ ครบ","⏳ ขาด: "&amp;TRIM(IF(D44="","จำนวน/ปี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",""))))))</f>
        <v/>
      </c>
    </row>
    <row r="45">
      <c r="A45" s="69" t="n">
        <v>39</v>
      </c>
      <c r="B45" s="70" t="inlineStr">
        <is>
          <t>HR: วินัย ธรรมาภิบาล และข้อร้องเรียน</t>
        </is>
      </c>
      <c r="C45" s="71" t="inlineStr">
        <is>
          <t>ข้อร้องเรียนบุคลากร</t>
        </is>
      </c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69">
        <f>IF(COUNTA(G45:I45,M45)&lt;4,"",Settings!$C$5*(G45="Yes")+Settings!$C$6*(H45="Yes")+Settings!$C$7*(I45="Yes")+Settings!$C$8*(M45="No"))</f>
        <v/>
      </c>
      <c r="S45" s="69">
        <f>IF(R45="","",IF(R45&gt;=Settings!$C$13,"สูง",IF(R45&gt;=Settings!$C$12,"ปานกลาง","ต่ำ")))</f>
        <v/>
      </c>
      <c r="T45" s="70">
        <f>IF(OR(S45="",P45=""),"",IF(AND(S45="สูง",P45="ตัด D2"),"⚠ เสี่ยงสูงแต่เสนอตัด D2 — ควรทบทวน",IF(AND(S45="ต่ำ",P45="คง D2"),"ℹ เสี่ยงต่ำแต่เสนอคง D2 — อาจควบคุมเกินจำเป็น",IF(AND(P45="เปลี่ยนเป็นหน่วยงานผู้เชี่ยวชาญ",M45="No"),"⚠ เสนอโอน แต่ตอบว่ายังไม่มีผู้เชี่ยวชาญตรวจ",IF(AND(P45="เปลี่ยนเป็นหน่วยงานผู้เชี่ยวชาญ",Q45=""),"⚠ ยังไม่ระบุหน่วยงานผู้เชี่ยวชาญ","")))))</f>
        <v/>
      </c>
      <c r="U45" s="69">
        <f>IF(AND(P45="ตัด D2",ISNUMBER(D45),ISNUMBER(F45)),D45*F45,"")</f>
        <v/>
      </c>
      <c r="V45" s="73" t="n"/>
      <c r="W45" s="70">
        <f>IF(C45="","",IF(AND(ISNUMBER(D45),D45=0),"✔ ไม่เคยทำ (ข้าม)",IF(COUNTA(D45:P45)=0,"○ ยังไม่เริ่ม",IF(IF(D45="","จำนวน/ปี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","")="","✔ ครบ","⏳ ขาด: "&amp;TRIM(IF(D45="","จำนวน/ปี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",""))))))</f>
        <v/>
      </c>
    </row>
    <row r="46">
      <c r="A46" s="69" t="n">
        <v>40</v>
      </c>
      <c r="B46" s="70" t="inlineStr">
        <is>
          <t>HR: วินัย ธรรมาภิบาล และข้อร้องเรียน</t>
        </is>
      </c>
      <c r="C46" s="71" t="inlineStr">
        <is>
          <t>การสอบข้อเท็จจริง</t>
        </is>
      </c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69">
        <f>IF(COUNTA(G46:I46,M46)&lt;4,"",Settings!$C$5*(G46="Yes")+Settings!$C$6*(H46="Yes")+Settings!$C$7*(I46="Yes")+Settings!$C$8*(M46="No"))</f>
        <v/>
      </c>
      <c r="S46" s="69">
        <f>IF(R46="","",IF(R46&gt;=Settings!$C$13,"สูง",IF(R46&gt;=Settings!$C$12,"ปานกลาง","ต่ำ")))</f>
        <v/>
      </c>
      <c r="T46" s="70">
        <f>IF(OR(S46="",P46=""),"",IF(AND(S46="สูง",P46="ตัด D2"),"⚠ เสี่ยงสูงแต่เสนอตัด D2 — ควรทบทวน",IF(AND(S46="ต่ำ",P46="คง D2"),"ℹ เสี่ยงต่ำแต่เสนอคง D2 — อาจควบคุมเกินจำเป็น",IF(AND(P46="เปลี่ยนเป็นหน่วยงานผู้เชี่ยวชาญ",M46="No"),"⚠ เสนอโอน แต่ตอบว่ายังไม่มีผู้เชี่ยวชาญตรวจ",IF(AND(P46="เปลี่ยนเป็นหน่วยงานผู้เชี่ยวชาญ",Q46=""),"⚠ ยังไม่ระบุหน่วยงานผู้เชี่ยวชาญ","")))))</f>
        <v/>
      </c>
      <c r="U46" s="69">
        <f>IF(AND(P46="ตัด D2",ISNUMBER(D46),ISNUMBER(F46)),D46*F46,"")</f>
        <v/>
      </c>
      <c r="V46" s="73" t="n"/>
      <c r="W46" s="70">
        <f>IF(C46="","",IF(AND(ISNUMBER(D46),D46=0),"✔ ไม่เคยทำ (ข้าม)",IF(COUNTA(D46:P46)=0,"○ ยังไม่เริ่ม",IF(IF(D46="","จำนวน/ปี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","")="","✔ ครบ","⏳ ขาด: "&amp;TRIM(IF(D46="","จำนวน/ปี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",""))))))</f>
        <v/>
      </c>
    </row>
    <row r="47">
      <c r="A47" s="69" t="n">
        <v>41</v>
      </c>
      <c r="B47" s="70" t="inlineStr">
        <is>
          <t>HR: วินัย ธรรมาภิบาล และข้อร้องเรียน</t>
        </is>
      </c>
      <c r="C47" s="71" t="inlineStr">
        <is>
          <t>การดำเนินการทางวินัย</t>
        </is>
      </c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69">
        <f>IF(COUNTA(G47:I47,M47)&lt;4,"",Settings!$C$5*(G47="Yes")+Settings!$C$6*(H47="Yes")+Settings!$C$7*(I47="Yes")+Settings!$C$8*(M47="No"))</f>
        <v/>
      </c>
      <c r="S47" s="69">
        <f>IF(R47="","",IF(R47&gt;=Settings!$C$13,"สูง",IF(R47&gt;=Settings!$C$12,"ปานกลาง","ต่ำ")))</f>
        <v/>
      </c>
      <c r="T47" s="70">
        <f>IF(OR(S47="",P47=""),"",IF(AND(S47="สูง",P47="ตัด D2"),"⚠ เสี่ยงสูงแต่เสนอตัด D2 — ควรทบทวน",IF(AND(S47="ต่ำ",P47="คง D2"),"ℹ เสี่ยงต่ำแต่เสนอคง D2 — อาจควบคุมเกินจำเป็น",IF(AND(P47="เปลี่ยนเป็นหน่วยงานผู้เชี่ยวชาญ",M47="No"),"⚠ เสนอโอน แต่ตอบว่ายังไม่มีผู้เชี่ยวชาญตรวจ",IF(AND(P47="เปลี่ยนเป็นหน่วยงานผู้เชี่ยวชาญ",Q47=""),"⚠ ยังไม่ระบุหน่วยงานผู้เชี่ยวชาญ","")))))</f>
        <v/>
      </c>
      <c r="U47" s="69">
        <f>IF(AND(P47="ตัด D2",ISNUMBER(D47),ISNUMBER(F47)),D47*F47,"")</f>
        <v/>
      </c>
      <c r="V47" s="73" t="n"/>
      <c r="W47" s="70">
        <f>IF(C47="","",IF(AND(ISNUMBER(D47),D47=0),"✔ ไม่เคยทำ (ข้าม)",IF(COUNTA(D47:P47)=0,"○ ยังไม่เริ่ม",IF(IF(D47="","จำนวน/ปี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","")="","✔ ครบ","⏳ ขาด: "&amp;TRIM(IF(D47="","จำนวน/ปี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",""))))))</f>
        <v/>
      </c>
    </row>
    <row r="48">
      <c r="A48" s="69" t="n">
        <v>42</v>
      </c>
      <c r="B48" s="70" t="inlineStr">
        <is>
          <t>HR: วินัย ธรรมาภิบาล และข้อร้องเรียน</t>
        </is>
      </c>
      <c r="C48" s="71" t="inlineStr">
        <is>
          <t>การอุทธรณ์ผลประเมิน</t>
        </is>
      </c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69">
        <f>IF(COUNTA(G48:I48,M48)&lt;4,"",Settings!$C$5*(G48="Yes")+Settings!$C$6*(H48="Yes")+Settings!$C$7*(I48="Yes")+Settings!$C$8*(M48="No"))</f>
        <v/>
      </c>
      <c r="S48" s="69">
        <f>IF(R48="","",IF(R48&gt;=Settings!$C$13,"สูง",IF(R48&gt;=Settings!$C$12,"ปานกลาง","ต่ำ")))</f>
        <v/>
      </c>
      <c r="T48" s="70">
        <f>IF(OR(S48="",P48=""),"",IF(AND(S48="สูง",P48="ตัด D2"),"⚠ เสี่ยงสูงแต่เสนอตัด D2 — ควรทบทวน",IF(AND(S48="ต่ำ",P48="คง D2"),"ℹ เสี่ยงต่ำแต่เสนอคง D2 — อาจควบคุมเกินจำเป็น",IF(AND(P48="เปลี่ยนเป็นหน่วยงานผู้เชี่ยวชาญ",M48="No"),"⚠ เสนอโอน แต่ตอบว่ายังไม่มีผู้เชี่ยวชาญตรวจ",IF(AND(P48="เปลี่ยนเป็นหน่วยงานผู้เชี่ยวชาญ",Q48=""),"⚠ ยังไม่ระบุหน่วยงานผู้เชี่ยวชาญ","")))))</f>
        <v/>
      </c>
      <c r="U48" s="69">
        <f>IF(AND(P48="ตัด D2",ISNUMBER(D48),ISNUMBER(F48)),D48*F48,"")</f>
        <v/>
      </c>
      <c r="V48" s="73" t="n"/>
      <c r="W48" s="70">
        <f>IF(C48="","",IF(AND(ISNUMBER(D48),D48=0),"✔ ไม่เคยทำ (ข้าม)",IF(COUNTA(D48:P48)=0,"○ ยังไม่เริ่ม",IF(IF(D48="","จำนวน/ปี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","")="","✔ ครบ","⏳ ขาด: "&amp;TRIM(IF(D48="","จำนวน/ปี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",""))))))</f>
        <v/>
      </c>
    </row>
    <row r="49">
      <c r="A49" s="72" t="n"/>
      <c r="B49" s="73" t="n"/>
      <c r="C49" s="73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69">
        <f>IF(COUNTA(G49:I49,M49)&lt;4,"",Settings!$C$5*(G49="Yes")+Settings!$C$6*(H49="Yes")+Settings!$C$7*(I49="Yes")+Settings!$C$8*(M49="No"))</f>
        <v/>
      </c>
      <c r="S49" s="69">
        <f>IF(R49="","",IF(R49&gt;=Settings!$C$13,"สูง",IF(R49&gt;=Settings!$C$12,"ปานกลาง","ต่ำ")))</f>
        <v/>
      </c>
      <c r="T49" s="70">
        <f>IF(OR(S49="",P49=""),"",IF(AND(S49="สูง",P49="ตัด D2"),"⚠ เสี่ยงสูงแต่เสนอตัด D2 — ควรทบทวน",IF(AND(S49="ต่ำ",P49="คง D2"),"ℹ เสี่ยงต่ำแต่เสนอคง D2 — อาจควบคุมเกินจำเป็น",IF(AND(P49="เปลี่ยนเป็นหน่วยงานผู้เชี่ยวชาญ",M49="No"),"⚠ เสนอโอน แต่ตอบว่ายังไม่มีผู้เชี่ยวชาญตรวจ",IF(AND(P49="เปลี่ยนเป็นหน่วยงานผู้เชี่ยวชาญ",Q49=""),"⚠ ยังไม่ระบุหน่วยงานผู้เชี่ยวชาญ","")))))</f>
        <v/>
      </c>
      <c r="U49" s="69">
        <f>IF(AND(P49="ตัด D2",ISNUMBER(D49),ISNUMBER(F49)),D49*F49,"")</f>
        <v/>
      </c>
      <c r="V49" s="73" t="n"/>
      <c r="W49" s="70">
        <f>IF(C49="","",IF(AND(ISNUMBER(D49),D49=0),"✔ ไม่เคยทำ (ข้าม)",IF(COUNTA(D49:P49)=0,"○ ยังไม่เริ่ม",IF(IF(D49="","จำนวน/ปี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","")="","✔ ครบ","⏳ ขาด: "&amp;TRIM(IF(D49="","จำนวน/ปี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",""))))))</f>
        <v/>
      </c>
    </row>
    <row r="50">
      <c r="A50" s="72" t="n"/>
      <c r="B50" s="73" t="n"/>
      <c r="C50" s="73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69">
        <f>IF(COUNTA(G50:I50,M50)&lt;4,"",Settings!$C$5*(G50="Yes")+Settings!$C$6*(H50="Yes")+Settings!$C$7*(I50="Yes")+Settings!$C$8*(M50="No"))</f>
        <v/>
      </c>
      <c r="S50" s="69">
        <f>IF(R50="","",IF(R50&gt;=Settings!$C$13,"สูง",IF(R50&gt;=Settings!$C$12,"ปานกลาง","ต่ำ")))</f>
        <v/>
      </c>
      <c r="T50" s="70">
        <f>IF(OR(S50="",P50=""),"",IF(AND(S50="สูง",P50="ตัด D2"),"⚠ เสี่ยงสูงแต่เสนอตัด D2 — ควรทบทวน",IF(AND(S50="ต่ำ",P50="คง D2"),"ℹ เสี่ยงต่ำแต่เสนอคง D2 — อาจควบคุมเกินจำเป็น",IF(AND(P50="เปลี่ยนเป็นหน่วยงานผู้เชี่ยวชาญ",M50="No"),"⚠ เสนอโอน แต่ตอบว่ายังไม่มีผู้เชี่ยวชาญตรวจ",IF(AND(P50="เปลี่ยนเป็นหน่วยงานผู้เชี่ยวชาญ",Q50=""),"⚠ ยังไม่ระบุหน่วยงานผู้เชี่ยวชาญ","")))))</f>
        <v/>
      </c>
      <c r="U50" s="69">
        <f>IF(AND(P50="ตัด D2",ISNUMBER(D50),ISNUMBER(F50)),D50*F50,"")</f>
        <v/>
      </c>
      <c r="V50" s="73" t="n"/>
      <c r="W50" s="70">
        <f>IF(C50="","",IF(AND(ISNUMBER(D50),D50=0),"✔ ไม่เคยทำ (ข้าม)",IF(COUNTA(D50:P50)=0,"○ ยังไม่เริ่ม",IF(IF(D50="","จำนวน/ปี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","")="","✔ ครบ","⏳ ขาด: "&amp;TRIM(IF(D50="","จำนวน/ปี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",""))))))</f>
        <v/>
      </c>
    </row>
    <row r="51">
      <c r="A51" s="72" t="n"/>
      <c r="B51" s="73" t="n"/>
      <c r="C51" s="73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69">
        <f>IF(COUNTA(G51:I51,M51)&lt;4,"",Settings!$C$5*(G51="Yes")+Settings!$C$6*(H51="Yes")+Settings!$C$7*(I51="Yes")+Settings!$C$8*(M51="No"))</f>
        <v/>
      </c>
      <c r="S51" s="69">
        <f>IF(R51="","",IF(R51&gt;=Settings!$C$13,"สูง",IF(R51&gt;=Settings!$C$12,"ปานกลาง","ต่ำ")))</f>
        <v/>
      </c>
      <c r="T51" s="70">
        <f>IF(OR(S51="",P51=""),"",IF(AND(S51="สูง",P51="ตัด D2"),"⚠ เสี่ยงสูงแต่เสนอตัด D2 — ควรทบทวน",IF(AND(S51="ต่ำ",P51="คง D2"),"ℹ เสี่ยงต่ำแต่เสนอคง D2 — อาจควบคุมเกินจำเป็น",IF(AND(P51="เปลี่ยนเป็นหน่วยงานผู้เชี่ยวชาญ",M51="No"),"⚠ เสนอโอน แต่ตอบว่ายังไม่มีผู้เชี่ยวชาญตรวจ",IF(AND(P51="เปลี่ยนเป็นหน่วยงานผู้เชี่ยวชาญ",Q51=""),"⚠ ยังไม่ระบุหน่วยงานผู้เชี่ยวชาญ","")))))</f>
        <v/>
      </c>
      <c r="U51" s="69">
        <f>IF(AND(P51="ตัด D2",ISNUMBER(D51),ISNUMBER(F51)),D51*F51,"")</f>
        <v/>
      </c>
      <c r="V51" s="73" t="n"/>
      <c r="W51" s="70">
        <f>IF(C51="","",IF(AND(ISNUMBER(D51),D51=0),"✔ ไม่เคยทำ (ข้าม)",IF(COUNTA(D51:P51)=0,"○ ยังไม่เริ่ม",IF(IF(D51="","จำนวน/ปี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","")="","✔ ครบ","⏳ ขาด: "&amp;TRIM(IF(D51="","จำนวน/ปี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",""))))))</f>
        <v/>
      </c>
    </row>
    <row r="52">
      <c r="A52" s="72" t="n"/>
      <c r="B52" s="73" t="n"/>
      <c r="C52" s="73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69">
        <f>IF(COUNTA(G52:I52,M52)&lt;4,"",Settings!$C$5*(G52="Yes")+Settings!$C$6*(H52="Yes")+Settings!$C$7*(I52="Yes")+Settings!$C$8*(M52="No"))</f>
        <v/>
      </c>
      <c r="S52" s="69">
        <f>IF(R52="","",IF(R52&gt;=Settings!$C$13,"สูง",IF(R52&gt;=Settings!$C$12,"ปานกลาง","ต่ำ")))</f>
        <v/>
      </c>
      <c r="T52" s="70">
        <f>IF(OR(S52="",P52=""),"",IF(AND(S52="สูง",P52="ตัด D2"),"⚠ เสี่ยงสูงแต่เสนอตัด D2 — ควรทบทวน",IF(AND(S52="ต่ำ",P52="คง D2"),"ℹ เสี่ยงต่ำแต่เสนอคง D2 — อาจควบคุมเกินจำเป็น",IF(AND(P52="เปลี่ยนเป็นหน่วยงานผู้เชี่ยวชาญ",M52="No"),"⚠ เสนอโอน แต่ตอบว่ายังไม่มีผู้เชี่ยวชาญตรวจ",IF(AND(P52="เปลี่ยนเป็นหน่วยงานผู้เชี่ยวชาญ",Q52=""),"⚠ ยังไม่ระบุหน่วยงานผู้เชี่ยวชาญ","")))))</f>
        <v/>
      </c>
      <c r="U52" s="69">
        <f>IF(AND(P52="ตัด D2",ISNUMBER(D52),ISNUMBER(F52)),D52*F52,"")</f>
        <v/>
      </c>
      <c r="V52" s="73" t="n"/>
      <c r="W52" s="70">
        <f>IF(C52="","",IF(AND(ISNUMBER(D52),D52=0),"✔ ไม่เคยทำ (ข้าม)",IF(COUNTA(D52:P52)=0,"○ ยังไม่เริ่ม",IF(IF(D52="","จำนวน/ปี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","")="","✔ ครบ","⏳ ขาด: "&amp;TRIM(IF(D52="","จำนวน/ปี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",""))))))</f>
        <v/>
      </c>
    </row>
    <row r="53">
      <c r="A53" s="72" t="n"/>
      <c r="B53" s="73" t="n"/>
      <c r="C53" s="73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69">
        <f>IF(COUNTA(G53:I53,M53)&lt;4,"",Settings!$C$5*(G53="Yes")+Settings!$C$6*(H53="Yes")+Settings!$C$7*(I53="Yes")+Settings!$C$8*(M53="No"))</f>
        <v/>
      </c>
      <c r="S53" s="69">
        <f>IF(R53="","",IF(R53&gt;=Settings!$C$13,"สูง",IF(R53&gt;=Settings!$C$12,"ปานกลาง","ต่ำ")))</f>
        <v/>
      </c>
      <c r="T53" s="70">
        <f>IF(OR(S53="",P53=""),"",IF(AND(S53="สูง",P53="ตัด D2"),"⚠ เสี่ยงสูงแต่เสนอตัด D2 — ควรทบทวน",IF(AND(S53="ต่ำ",P53="คง D2"),"ℹ เสี่ยงต่ำแต่เสนอคง D2 — อาจควบคุมเกินจำเป็น",IF(AND(P53="เปลี่ยนเป็นหน่วยงานผู้เชี่ยวชาญ",M53="No"),"⚠ เสนอโอน แต่ตอบว่ายังไม่มีผู้เชี่ยวชาญตรวจ",IF(AND(P53="เปลี่ยนเป็นหน่วยงานผู้เชี่ยวชาญ",Q53=""),"⚠ ยังไม่ระบุหน่วยงานผู้เชี่ยวชาญ","")))))</f>
        <v/>
      </c>
      <c r="U53" s="69">
        <f>IF(AND(P53="ตัด D2",ISNUMBER(D53),ISNUMBER(F53)),D53*F53,"")</f>
        <v/>
      </c>
      <c r="V53" s="73" t="n"/>
      <c r="W53" s="70">
        <f>IF(C53="","",IF(AND(ISNUMBER(D53),D53=0),"✔ ไม่เคยทำ (ข้าม)",IF(COUNTA(D53:P53)=0,"○ ยังไม่เริ่ม",IF(IF(D53="","จำนวน/ปี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","")="","✔ ครบ","⏳ ขาด: "&amp;TRIM(IF(D53="","จำนวน/ปี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",""))))))</f>
        <v/>
      </c>
    </row>
    <row r="54">
      <c r="A54" s="72" t="n"/>
      <c r="B54" s="73" t="n"/>
      <c r="C54" s="73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69">
        <f>IF(COUNTA(G54:I54,M54)&lt;4,"",Settings!$C$5*(G54="Yes")+Settings!$C$6*(H54="Yes")+Settings!$C$7*(I54="Yes")+Settings!$C$8*(M54="No"))</f>
        <v/>
      </c>
      <c r="S54" s="69">
        <f>IF(R54="","",IF(R54&gt;=Settings!$C$13,"สูง",IF(R54&gt;=Settings!$C$12,"ปานกลาง","ต่ำ")))</f>
        <v/>
      </c>
      <c r="T54" s="70">
        <f>IF(OR(S54="",P54=""),"",IF(AND(S54="สูง",P54="ตัด D2"),"⚠ เสี่ยงสูงแต่เสนอตัด D2 — ควรทบทวน",IF(AND(S54="ต่ำ",P54="คง D2"),"ℹ เสี่ยงต่ำแต่เสนอคง D2 — อาจควบคุมเกินจำเป็น",IF(AND(P54="เปลี่ยนเป็นหน่วยงานผู้เชี่ยวชาญ",M54="No"),"⚠ เสนอโอน แต่ตอบว่ายังไม่มีผู้เชี่ยวชาญตรวจ",IF(AND(P54="เปลี่ยนเป็นหน่วยงานผู้เชี่ยวชาญ",Q54=""),"⚠ ยังไม่ระบุหน่วยงานผู้เชี่ยวชาญ","")))))</f>
        <v/>
      </c>
      <c r="U54" s="69">
        <f>IF(AND(P54="ตัด D2",ISNUMBER(D54),ISNUMBER(F54)),D54*F54,"")</f>
        <v/>
      </c>
      <c r="V54" s="73" t="n"/>
      <c r="W54" s="70">
        <f>IF(C54="","",IF(AND(ISNUMBER(D54),D54=0),"✔ ไม่เคยทำ (ข้าม)",IF(COUNTA(D54:P54)=0,"○ ยังไม่เริ่ม",IF(IF(D54="","จำนวน/ปี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","")="","✔ ครบ","⏳ ขาด: "&amp;TRIM(IF(D54="","จำนวน/ปี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",""))))))</f>
        <v/>
      </c>
    </row>
    <row r="55">
      <c r="A55" s="72" t="n"/>
      <c r="B55" s="73" t="n"/>
      <c r="C55" s="73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69">
        <f>IF(COUNTA(G55:I55,M55)&lt;4,"",Settings!$C$5*(G55="Yes")+Settings!$C$6*(H55="Yes")+Settings!$C$7*(I55="Yes")+Settings!$C$8*(M55="No"))</f>
        <v/>
      </c>
      <c r="S55" s="69">
        <f>IF(R55="","",IF(R55&gt;=Settings!$C$13,"สูง",IF(R55&gt;=Settings!$C$12,"ปานกลาง","ต่ำ")))</f>
        <v/>
      </c>
      <c r="T55" s="70">
        <f>IF(OR(S55="",P55=""),"",IF(AND(S55="สูง",P55="ตัด D2"),"⚠ เสี่ยงสูงแต่เสนอตัด D2 — ควรทบทวน",IF(AND(S55="ต่ำ",P55="คง D2"),"ℹ เสี่ยงต่ำแต่เสนอคง D2 — อาจควบคุมเกินจำเป็น",IF(AND(P55="เปลี่ยนเป็นหน่วยงานผู้เชี่ยวชาญ",M55="No"),"⚠ เสนอโอน แต่ตอบว่ายังไม่มีผู้เชี่ยวชาญตรวจ",IF(AND(P55="เปลี่ยนเป็นหน่วยงานผู้เชี่ยวชาญ",Q55=""),"⚠ ยังไม่ระบุหน่วยงานผู้เชี่ยวชาญ","")))))</f>
        <v/>
      </c>
      <c r="U55" s="69">
        <f>IF(AND(P55="ตัด D2",ISNUMBER(D55),ISNUMBER(F55)),D55*F55,"")</f>
        <v/>
      </c>
      <c r="V55" s="73" t="n"/>
      <c r="W55" s="70">
        <f>IF(C55="","",IF(AND(ISNUMBER(D55),D55=0),"✔ ไม่เคยทำ (ข้าม)",IF(COUNTA(D55:P55)=0,"○ ยังไม่เริ่ม",IF(IF(D55="","จำนวน/ปี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","")="","✔ ครบ","⏳ ขาด: "&amp;TRIM(IF(D55="","จำนวน/ปี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",""))))))</f>
        <v/>
      </c>
    </row>
    <row r="56">
      <c r="A56" s="72" t="n"/>
      <c r="B56" s="73" t="n"/>
      <c r="C56" s="73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69">
        <f>IF(COUNTA(G56:I56,M56)&lt;4,"",Settings!$C$5*(G56="Yes")+Settings!$C$6*(H56="Yes")+Settings!$C$7*(I56="Yes")+Settings!$C$8*(M56="No"))</f>
        <v/>
      </c>
      <c r="S56" s="69">
        <f>IF(R56="","",IF(R56&gt;=Settings!$C$13,"สูง",IF(R56&gt;=Settings!$C$12,"ปานกลาง","ต่ำ")))</f>
        <v/>
      </c>
      <c r="T56" s="70">
        <f>IF(OR(S56="",P56=""),"",IF(AND(S56="สูง",P56="ตัด D2"),"⚠ เสี่ยงสูงแต่เสนอตัด D2 — ควรทบทวน",IF(AND(S56="ต่ำ",P56="คง D2"),"ℹ เสี่ยงต่ำแต่เสนอคง D2 — อาจควบคุมเกินจำเป็น",IF(AND(P56="เปลี่ยนเป็นหน่วยงานผู้เชี่ยวชาญ",M56="No"),"⚠ เสนอโอน แต่ตอบว่ายังไม่มีผู้เชี่ยวชาญตรวจ",IF(AND(P56="เปลี่ยนเป็นหน่วยงานผู้เชี่ยวชาญ",Q56=""),"⚠ ยังไม่ระบุหน่วยงานผู้เชี่ยวชาญ","")))))</f>
        <v/>
      </c>
      <c r="U56" s="69">
        <f>IF(AND(P56="ตัด D2",ISNUMBER(D56),ISNUMBER(F56)),D56*F56,"")</f>
        <v/>
      </c>
      <c r="V56" s="73" t="n"/>
      <c r="W56" s="70">
        <f>IF(C56="","",IF(AND(ISNUMBER(D56),D56=0),"✔ ไม่เคยทำ (ข้าม)",IF(COUNTA(D56:P56)=0,"○ ยังไม่เริ่ม",IF(IF(D56="","จำนวน/ปี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","")="","✔ ครบ","⏳ ขาด: "&amp;TRIM(IF(D56="","จำนวน/ปี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",""))))))</f>
        <v/>
      </c>
    </row>
    <row r="57">
      <c r="A57" s="72" t="n"/>
      <c r="B57" s="73" t="n"/>
      <c r="C57" s="73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69">
        <f>IF(COUNTA(G57:I57,M57)&lt;4,"",Settings!$C$5*(G57="Yes")+Settings!$C$6*(H57="Yes")+Settings!$C$7*(I57="Yes")+Settings!$C$8*(M57="No"))</f>
        <v/>
      </c>
      <c r="S57" s="69">
        <f>IF(R57="","",IF(R57&gt;=Settings!$C$13,"สูง",IF(R57&gt;=Settings!$C$12,"ปานกลาง","ต่ำ")))</f>
        <v/>
      </c>
      <c r="T57" s="70">
        <f>IF(OR(S57="",P57=""),"",IF(AND(S57="สูง",P57="ตัด D2"),"⚠ เสี่ยงสูงแต่เสนอตัด D2 — ควรทบทวน",IF(AND(S57="ต่ำ",P57="คง D2"),"ℹ เสี่ยงต่ำแต่เสนอคง D2 — อาจควบคุมเกินจำเป็น",IF(AND(P57="เปลี่ยนเป็นหน่วยงานผู้เชี่ยวชาญ",M57="No"),"⚠ เสนอโอน แต่ตอบว่ายังไม่มีผู้เชี่ยวชาญตรวจ",IF(AND(P57="เปลี่ยนเป็นหน่วยงานผู้เชี่ยวชาญ",Q57=""),"⚠ ยังไม่ระบุหน่วยงานผู้เชี่ยวชาญ","")))))</f>
        <v/>
      </c>
      <c r="U57" s="69">
        <f>IF(AND(P57="ตัด D2",ISNUMBER(D57),ISNUMBER(F57)),D57*F57,"")</f>
        <v/>
      </c>
      <c r="V57" s="73" t="n"/>
      <c r="W57" s="70">
        <f>IF(C57="","",IF(AND(ISNUMBER(D57),D57=0),"✔ ไม่เคยทำ (ข้าม)",IF(COUNTA(D57:P57)=0,"○ ยังไม่เริ่ม",IF(IF(D57="","จำนวน/ปี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","")="","✔ ครบ","⏳ ขาด: "&amp;TRIM(IF(D57="","จำนวน/ปี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",""))))))</f>
        <v/>
      </c>
    </row>
    <row r="58">
      <c r="A58" s="72" t="n"/>
      <c r="B58" s="73" t="n"/>
      <c r="C58" s="73" t="n"/>
      <c r="D58" s="72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69">
        <f>IF(COUNTA(G58:I58,M58)&lt;4,"",Settings!$C$5*(G58="Yes")+Settings!$C$6*(H58="Yes")+Settings!$C$7*(I58="Yes")+Settings!$C$8*(M58="No"))</f>
        <v/>
      </c>
      <c r="S58" s="69">
        <f>IF(R58="","",IF(R58&gt;=Settings!$C$13,"สูง",IF(R58&gt;=Settings!$C$12,"ปานกลาง","ต่ำ")))</f>
        <v/>
      </c>
      <c r="T58" s="70">
        <f>IF(OR(S58="",P58=""),"",IF(AND(S58="สูง",P58="ตัด D2"),"⚠ เสี่ยงสูงแต่เสนอตัด D2 — ควรทบทวน",IF(AND(S58="ต่ำ",P58="คง D2"),"ℹ เสี่ยงต่ำแต่เสนอคง D2 — อาจควบคุมเกินจำเป็น",IF(AND(P58="เปลี่ยนเป็นหน่วยงานผู้เชี่ยวชาญ",M58="No"),"⚠ เสนอโอน แต่ตอบว่ายังไม่มีผู้เชี่ยวชาญตรวจ",IF(AND(P58="เปลี่ยนเป็นหน่วยงานผู้เชี่ยวชาญ",Q58=""),"⚠ ยังไม่ระบุหน่วยงานผู้เชี่ยวชาญ","")))))</f>
        <v/>
      </c>
      <c r="U58" s="69">
        <f>IF(AND(P58="ตัด D2",ISNUMBER(D58),ISNUMBER(F58)),D58*F58,"")</f>
        <v/>
      </c>
      <c r="V58" s="73" t="n"/>
      <c r="W58" s="70">
        <f>IF(C58="","",IF(AND(ISNUMBER(D58),D58=0),"✔ ไม่เคยทำ (ข้าม)",IF(COUNTA(D58:P58)=0,"○ ยังไม่เริ่ม",IF(IF(D58="","จำนวน/ปี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","")="","✔ ครบ","⏳ ขาด: "&amp;TRIM(IF(D58="","จำนวน/ปี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",""))))))</f>
        <v/>
      </c>
    </row>
    <row r="59">
      <c r="A59" s="72" t="n"/>
      <c r="B59" s="73" t="n"/>
      <c r="C59" s="73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69">
        <f>IF(COUNTA(G59:I59,M59)&lt;4,"",Settings!$C$5*(G59="Yes")+Settings!$C$6*(H59="Yes")+Settings!$C$7*(I59="Yes")+Settings!$C$8*(M59="No"))</f>
        <v/>
      </c>
      <c r="S59" s="69">
        <f>IF(R59="","",IF(R59&gt;=Settings!$C$13,"สูง",IF(R59&gt;=Settings!$C$12,"ปานกลาง","ต่ำ")))</f>
        <v/>
      </c>
      <c r="T59" s="70">
        <f>IF(OR(S59="",P59=""),"",IF(AND(S59="สูง",P59="ตัด D2"),"⚠ เสี่ยงสูงแต่เสนอตัด D2 — ควรทบทวน",IF(AND(S59="ต่ำ",P59="คง D2"),"ℹ เสี่ยงต่ำแต่เสนอคง D2 — อาจควบคุมเกินจำเป็น",IF(AND(P59="เปลี่ยนเป็นหน่วยงานผู้เชี่ยวชาญ",M59="No"),"⚠ เสนอโอน แต่ตอบว่ายังไม่มีผู้เชี่ยวชาญตรวจ",IF(AND(P59="เปลี่ยนเป็นหน่วยงานผู้เชี่ยวชาญ",Q59=""),"⚠ ยังไม่ระบุหน่วยงานผู้เชี่ยวชาญ","")))))</f>
        <v/>
      </c>
      <c r="U59" s="69">
        <f>IF(AND(P59="ตัด D2",ISNUMBER(D59),ISNUMBER(F59)),D59*F59,"")</f>
        <v/>
      </c>
      <c r="V59" s="73" t="n"/>
      <c r="W59" s="70">
        <f>IF(C59="","",IF(AND(ISNUMBER(D59),D59=0),"✔ ไม่เคยทำ (ข้าม)",IF(COUNTA(D59:P59)=0,"○ ยังไม่เริ่ม",IF(IF(D59="","จำนวน/ปี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","")="","✔ ครบ","⏳ ขาด: "&amp;TRIM(IF(D59="","จำนวน/ปี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",""))))))</f>
        <v/>
      </c>
    </row>
    <row r="60">
      <c r="A60" s="72" t="n"/>
      <c r="B60" s="73" t="n"/>
      <c r="C60" s="73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69">
        <f>IF(COUNTA(G60:I60,M60)&lt;4,"",Settings!$C$5*(G60="Yes")+Settings!$C$6*(H60="Yes")+Settings!$C$7*(I60="Yes")+Settings!$C$8*(M60="No"))</f>
        <v/>
      </c>
      <c r="S60" s="69">
        <f>IF(R60="","",IF(R60&gt;=Settings!$C$13,"สูง",IF(R60&gt;=Settings!$C$12,"ปานกลาง","ต่ำ")))</f>
        <v/>
      </c>
      <c r="T60" s="70">
        <f>IF(OR(S60="",P60=""),"",IF(AND(S60="สูง",P60="ตัด D2"),"⚠ เสี่ยงสูงแต่เสนอตัด D2 — ควรทบทวน",IF(AND(S60="ต่ำ",P60="คง D2"),"ℹ เสี่ยงต่ำแต่เสนอคง D2 — อาจควบคุมเกินจำเป็น",IF(AND(P60="เปลี่ยนเป็นหน่วยงานผู้เชี่ยวชาญ",M60="No"),"⚠ เสนอโอน แต่ตอบว่ายังไม่มีผู้เชี่ยวชาญตรวจ",IF(AND(P60="เปลี่ยนเป็นหน่วยงานผู้เชี่ยวชาญ",Q60=""),"⚠ ยังไม่ระบุหน่วยงานผู้เชี่ยวชาญ","")))))</f>
        <v/>
      </c>
      <c r="U60" s="69">
        <f>IF(AND(P60="ตัด D2",ISNUMBER(D60),ISNUMBER(F60)),D60*F60,"")</f>
        <v/>
      </c>
      <c r="V60" s="73" t="n"/>
      <c r="W60" s="70">
        <f>IF(C60="","",IF(AND(ISNUMBER(D60),D60=0),"✔ ไม่เคยทำ (ข้าม)",IF(COUNTA(D60:P60)=0,"○ ยังไม่เริ่ม",IF(IF(D60="","จำนวน/ปี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","")="","✔ ครบ","⏳ ขาด: "&amp;TRIM(IF(D60="","จำนวน/ปี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",""))))))</f>
        <v/>
      </c>
    </row>
    <row r="61">
      <c r="A61" s="72" t="n"/>
      <c r="B61" s="73" t="n"/>
      <c r="C61" s="73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69">
        <f>IF(COUNTA(G61:I61,M61)&lt;4,"",Settings!$C$5*(G61="Yes")+Settings!$C$6*(H61="Yes")+Settings!$C$7*(I61="Yes")+Settings!$C$8*(M61="No"))</f>
        <v/>
      </c>
      <c r="S61" s="69">
        <f>IF(R61="","",IF(R61&gt;=Settings!$C$13,"สูง",IF(R61&gt;=Settings!$C$12,"ปานกลาง","ต่ำ")))</f>
        <v/>
      </c>
      <c r="T61" s="70">
        <f>IF(OR(S61="",P61=""),"",IF(AND(S61="สูง",P61="ตัด D2"),"⚠ เสี่ยงสูงแต่เสนอตัด D2 — ควรทบทวน",IF(AND(S61="ต่ำ",P61="คง D2"),"ℹ เสี่ยงต่ำแต่เสนอคง D2 — อาจควบคุมเกินจำเป็น",IF(AND(P61="เปลี่ยนเป็นหน่วยงานผู้เชี่ยวชาญ",M61="No"),"⚠ เสนอโอน แต่ตอบว่ายังไม่มีผู้เชี่ยวชาญตรวจ",IF(AND(P61="เปลี่ยนเป็นหน่วยงานผู้เชี่ยวชาญ",Q61=""),"⚠ ยังไม่ระบุหน่วยงานผู้เชี่ยวชาญ","")))))</f>
        <v/>
      </c>
      <c r="U61" s="69">
        <f>IF(AND(P61="ตัด D2",ISNUMBER(D61),ISNUMBER(F61)),D61*F61,"")</f>
        <v/>
      </c>
      <c r="V61" s="73" t="n"/>
      <c r="W61" s="70">
        <f>IF(C61="","",IF(AND(ISNUMBER(D61),D61=0),"✔ ไม่เคยทำ (ข้าม)",IF(COUNTA(D61:P61)=0,"○ ยังไม่เริ่ม",IF(IF(D61="","จำนวน/ปี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","")="","✔ ครบ","⏳ ขาด: "&amp;TRIM(IF(D61="","จำนวน/ปี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",""))))))</f>
        <v/>
      </c>
    </row>
    <row r="62">
      <c r="A62" s="72" t="n"/>
      <c r="B62" s="73" t="n"/>
      <c r="C62" s="73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69">
        <f>IF(COUNTA(G62:I62,M62)&lt;4,"",Settings!$C$5*(G62="Yes")+Settings!$C$6*(H62="Yes")+Settings!$C$7*(I62="Yes")+Settings!$C$8*(M62="No"))</f>
        <v/>
      </c>
      <c r="S62" s="69">
        <f>IF(R62="","",IF(R62&gt;=Settings!$C$13,"สูง",IF(R62&gt;=Settings!$C$12,"ปานกลาง","ต่ำ")))</f>
        <v/>
      </c>
      <c r="T62" s="70">
        <f>IF(OR(S62="",P62=""),"",IF(AND(S62="สูง",P62="ตัด D2"),"⚠ เสี่ยงสูงแต่เสนอตัด D2 — ควรทบทวน",IF(AND(S62="ต่ำ",P62="คง D2"),"ℹ เสี่ยงต่ำแต่เสนอคง D2 — อาจควบคุมเกินจำเป็น",IF(AND(P62="เปลี่ยนเป็นหน่วยงานผู้เชี่ยวชาญ",M62="No"),"⚠ เสนอโอน แต่ตอบว่ายังไม่มีผู้เชี่ยวชาญตรวจ",IF(AND(P62="เปลี่ยนเป็นหน่วยงานผู้เชี่ยวชาญ",Q62=""),"⚠ ยังไม่ระบุหน่วยงานผู้เชี่ยวชาญ","")))))</f>
        <v/>
      </c>
      <c r="U62" s="69">
        <f>IF(AND(P62="ตัด D2",ISNUMBER(D62),ISNUMBER(F62)),D62*F62,"")</f>
        <v/>
      </c>
      <c r="V62" s="73" t="n"/>
      <c r="W62" s="70">
        <f>IF(C62="","",IF(AND(ISNUMBER(D62),D62=0),"✔ ไม่เคยทำ (ข้าม)",IF(COUNTA(D62:P62)=0,"○ ยังไม่เริ่ม",IF(IF(D62="","จำนวน/ปี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","")="","✔ ครบ","⏳ ขาด: "&amp;TRIM(IF(D62="","จำนวน/ปี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",""))))))</f>
        <v/>
      </c>
    </row>
    <row r="63">
      <c r="A63" s="72" t="n"/>
      <c r="B63" s="73" t="n"/>
      <c r="C63" s="73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69">
        <f>IF(COUNTA(G63:I63,M63)&lt;4,"",Settings!$C$5*(G63="Yes")+Settings!$C$6*(H63="Yes")+Settings!$C$7*(I63="Yes")+Settings!$C$8*(M63="No"))</f>
        <v/>
      </c>
      <c r="S63" s="69">
        <f>IF(R63="","",IF(R63&gt;=Settings!$C$13,"สูง",IF(R63&gt;=Settings!$C$12,"ปานกลาง","ต่ำ")))</f>
        <v/>
      </c>
      <c r="T63" s="70">
        <f>IF(OR(S63="",P63=""),"",IF(AND(S63="สูง",P63="ตัด D2"),"⚠ เสี่ยงสูงแต่เสนอตัด D2 — ควรทบทวน",IF(AND(S63="ต่ำ",P63="คง D2"),"ℹ เสี่ยงต่ำแต่เสนอคง D2 — อาจควบคุมเกินจำเป็น",IF(AND(P63="เปลี่ยนเป็นหน่วยงานผู้เชี่ยวชาญ",M63="No"),"⚠ เสนอโอน แต่ตอบว่ายังไม่มีผู้เชี่ยวชาญตรวจ",IF(AND(P63="เปลี่ยนเป็นหน่วยงานผู้เชี่ยวชาญ",Q63=""),"⚠ ยังไม่ระบุหน่วยงานผู้เชี่ยวชาญ","")))))</f>
        <v/>
      </c>
      <c r="U63" s="69">
        <f>IF(AND(P63="ตัด D2",ISNUMBER(D63),ISNUMBER(F63)),D63*F63,"")</f>
        <v/>
      </c>
      <c r="V63" s="73" t="n"/>
      <c r="W63" s="70">
        <f>IF(C63="","",IF(AND(ISNUMBER(D63),D63=0),"✔ ไม่เคยทำ (ข้าม)",IF(COUNTA(D63:P63)=0,"○ ยังไม่เริ่ม",IF(IF(D63="","จำนวน/ปี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","")="","✔ ครบ","⏳ ขาด: "&amp;TRIM(IF(D63="","จำนวน/ปี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",""))))))</f>
        <v/>
      </c>
    </row>
    <row r="64">
      <c r="A64" s="72" t="n"/>
      <c r="B64" s="73" t="n"/>
      <c r="C64" s="73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69">
        <f>IF(COUNTA(G64:I64,M64)&lt;4,"",Settings!$C$5*(G64="Yes")+Settings!$C$6*(H64="Yes")+Settings!$C$7*(I64="Yes")+Settings!$C$8*(M64="No"))</f>
        <v/>
      </c>
      <c r="S64" s="69">
        <f>IF(R64="","",IF(R64&gt;=Settings!$C$13,"สูง",IF(R64&gt;=Settings!$C$12,"ปานกลาง","ต่ำ")))</f>
        <v/>
      </c>
      <c r="T64" s="70">
        <f>IF(OR(S64="",P64=""),"",IF(AND(S64="สูง",P64="ตัด D2"),"⚠ เสี่ยงสูงแต่เสนอตัด D2 — ควรทบทวน",IF(AND(S64="ต่ำ",P64="คง D2"),"ℹ เสี่ยงต่ำแต่เสนอคง D2 — อาจควบคุมเกินจำเป็น",IF(AND(P64="เปลี่ยนเป็นหน่วยงานผู้เชี่ยวชาญ",M64="No"),"⚠ เสนอโอน แต่ตอบว่ายังไม่มีผู้เชี่ยวชาญตรวจ",IF(AND(P64="เปลี่ยนเป็นหน่วยงานผู้เชี่ยวชาญ",Q64=""),"⚠ ยังไม่ระบุหน่วยงานผู้เชี่ยวชาญ","")))))</f>
        <v/>
      </c>
      <c r="U64" s="69">
        <f>IF(AND(P64="ตัด D2",ISNUMBER(D64),ISNUMBER(F64)),D64*F64,"")</f>
        <v/>
      </c>
      <c r="V64" s="73" t="n"/>
      <c r="W64" s="70">
        <f>IF(C64="","",IF(AND(ISNUMBER(D64),D64=0),"✔ ไม่เคยทำ (ข้าม)",IF(COUNTA(D64:P64)=0,"○ ยังไม่เริ่ม",IF(IF(D64="","จำนวน/ปี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","")="","✔ ครบ","⏳ ขาด: "&amp;TRIM(IF(D64="","จำนวน/ปี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",""))))))</f>
        <v/>
      </c>
    </row>
    <row r="65">
      <c r="A65" s="72" t="n"/>
      <c r="B65" s="73" t="n"/>
      <c r="C65" s="73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69">
        <f>IF(COUNTA(G65:I65,M65)&lt;4,"",Settings!$C$5*(G65="Yes")+Settings!$C$6*(H65="Yes")+Settings!$C$7*(I65="Yes")+Settings!$C$8*(M65="No"))</f>
        <v/>
      </c>
      <c r="S65" s="69">
        <f>IF(R65="","",IF(R65&gt;=Settings!$C$13,"สูง",IF(R65&gt;=Settings!$C$12,"ปานกลาง","ต่ำ")))</f>
        <v/>
      </c>
      <c r="T65" s="70">
        <f>IF(OR(S65="",P65=""),"",IF(AND(S65="สูง",P65="ตัด D2"),"⚠ เสี่ยงสูงแต่เสนอตัด D2 — ควรทบทวน",IF(AND(S65="ต่ำ",P65="คง D2"),"ℹ เสี่ยงต่ำแต่เสนอคง D2 — อาจควบคุมเกินจำเป็น",IF(AND(P65="เปลี่ยนเป็นหน่วยงานผู้เชี่ยวชาญ",M65="No"),"⚠ เสนอโอน แต่ตอบว่ายังไม่มีผู้เชี่ยวชาญตรวจ",IF(AND(P65="เปลี่ยนเป็นหน่วยงานผู้เชี่ยวชาญ",Q65=""),"⚠ ยังไม่ระบุหน่วยงานผู้เชี่ยวชาญ","")))))</f>
        <v/>
      </c>
      <c r="U65" s="69">
        <f>IF(AND(P65="ตัด D2",ISNUMBER(D65),ISNUMBER(F65)),D65*F65,"")</f>
        <v/>
      </c>
      <c r="V65" s="73" t="n"/>
      <c r="W65" s="70">
        <f>IF(C65="","",IF(AND(ISNUMBER(D65),D65=0),"✔ ไม่เคยทำ (ข้าม)",IF(COUNTA(D65:P65)=0,"○ ยังไม่เริ่ม",IF(IF(D65="","จำนวน/ปี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","")="","✔ ครบ","⏳ ขาด: "&amp;TRIM(IF(D65="","จำนวน/ปี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",""))))))</f>
        <v/>
      </c>
    </row>
    <row r="66">
      <c r="A66" s="72" t="n"/>
      <c r="B66" s="73" t="n"/>
      <c r="C66" s="73" t="n"/>
      <c r="D66" s="72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69">
        <f>IF(COUNTA(G66:I66,M66)&lt;4,"",Settings!$C$5*(G66="Yes")+Settings!$C$6*(H66="Yes")+Settings!$C$7*(I66="Yes")+Settings!$C$8*(M66="No"))</f>
        <v/>
      </c>
      <c r="S66" s="69">
        <f>IF(R66="","",IF(R66&gt;=Settings!$C$13,"สูง",IF(R66&gt;=Settings!$C$12,"ปานกลาง","ต่ำ")))</f>
        <v/>
      </c>
      <c r="T66" s="70">
        <f>IF(OR(S66="",P66=""),"",IF(AND(S66="สูง",P66="ตัด D2"),"⚠ เสี่ยงสูงแต่เสนอตัด D2 — ควรทบทวน",IF(AND(S66="ต่ำ",P66="คง D2"),"ℹ เสี่ยงต่ำแต่เสนอคง D2 — อาจควบคุมเกินจำเป็น",IF(AND(P66="เปลี่ยนเป็นหน่วยงานผู้เชี่ยวชาญ",M66="No"),"⚠ เสนอโอน แต่ตอบว่ายังไม่มีผู้เชี่ยวชาญตรวจ",IF(AND(P66="เปลี่ยนเป็นหน่วยงานผู้เชี่ยวชาญ",Q66=""),"⚠ ยังไม่ระบุหน่วยงานผู้เชี่ยวชาญ","")))))</f>
        <v/>
      </c>
      <c r="U66" s="69">
        <f>IF(AND(P66="ตัด D2",ISNUMBER(D66),ISNUMBER(F66)),D66*F66,"")</f>
        <v/>
      </c>
      <c r="V66" s="73" t="n"/>
      <c r="W66" s="70">
        <f>IF(C66="","",IF(AND(ISNUMBER(D66),D66=0),"✔ ไม่เคยทำ (ข้าม)",IF(COUNTA(D66:P66)=0,"○ ยังไม่เริ่ม",IF(IF(D66="","จำนวน/ปี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","")="","✔ ครบ","⏳ ขาด: "&amp;TRIM(IF(D66="","จำนวน/ปี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",""))))))</f>
        <v/>
      </c>
    </row>
    <row r="67">
      <c r="A67" s="72" t="n"/>
      <c r="B67" s="73" t="n"/>
      <c r="C67" s="73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69">
        <f>IF(COUNTA(G67:I67,M67)&lt;4,"",Settings!$C$5*(G67="Yes")+Settings!$C$6*(H67="Yes")+Settings!$C$7*(I67="Yes")+Settings!$C$8*(M67="No"))</f>
        <v/>
      </c>
      <c r="S67" s="69">
        <f>IF(R67="","",IF(R67&gt;=Settings!$C$13,"สูง",IF(R67&gt;=Settings!$C$12,"ปานกลาง","ต่ำ")))</f>
        <v/>
      </c>
      <c r="T67" s="70">
        <f>IF(OR(S67="",P67=""),"",IF(AND(S67="สูง",P67="ตัด D2"),"⚠ เสี่ยงสูงแต่เสนอตัด D2 — ควรทบทวน",IF(AND(S67="ต่ำ",P67="คง D2"),"ℹ เสี่ยงต่ำแต่เสนอคง D2 — อาจควบคุมเกินจำเป็น",IF(AND(P67="เปลี่ยนเป็นหน่วยงานผู้เชี่ยวชาญ",M67="No"),"⚠ เสนอโอน แต่ตอบว่ายังไม่มีผู้เชี่ยวชาญตรวจ",IF(AND(P67="เปลี่ยนเป็นหน่วยงานผู้เชี่ยวชาญ",Q67=""),"⚠ ยังไม่ระบุหน่วยงานผู้เชี่ยวชาญ","")))))</f>
        <v/>
      </c>
      <c r="U67" s="69">
        <f>IF(AND(P67="ตัด D2",ISNUMBER(D67),ISNUMBER(F67)),D67*F67,"")</f>
        <v/>
      </c>
      <c r="V67" s="73" t="n"/>
      <c r="W67" s="70">
        <f>IF(C67="","",IF(AND(ISNUMBER(D67),D67=0),"✔ ไม่เคยทำ (ข้าม)",IF(COUNTA(D67:P67)=0,"○ ยังไม่เริ่ม",IF(IF(D67="","จำนวน/ปี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","")="","✔ ครบ","⏳ ขาด: "&amp;TRIM(IF(D67="","จำนวน/ปี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",""))))))</f>
        <v/>
      </c>
    </row>
    <row r="68">
      <c r="A68" s="72" t="n"/>
      <c r="B68" s="73" t="n"/>
      <c r="C68" s="73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69">
        <f>IF(COUNTA(G68:I68,M68)&lt;4,"",Settings!$C$5*(G68="Yes")+Settings!$C$6*(H68="Yes")+Settings!$C$7*(I68="Yes")+Settings!$C$8*(M68="No"))</f>
        <v/>
      </c>
      <c r="S68" s="69">
        <f>IF(R68="","",IF(R68&gt;=Settings!$C$13,"สูง",IF(R68&gt;=Settings!$C$12,"ปานกลาง","ต่ำ")))</f>
        <v/>
      </c>
      <c r="T68" s="70">
        <f>IF(OR(S68="",P68=""),"",IF(AND(S68="สูง",P68="ตัด D2"),"⚠ เสี่ยงสูงแต่เสนอตัด D2 — ควรทบทวน",IF(AND(S68="ต่ำ",P68="คง D2"),"ℹ เสี่ยงต่ำแต่เสนอคง D2 — อาจควบคุมเกินจำเป็น",IF(AND(P68="เปลี่ยนเป็นหน่วยงานผู้เชี่ยวชาญ",M68="No"),"⚠ เสนอโอน แต่ตอบว่ายังไม่มีผู้เชี่ยวชาญตรวจ",IF(AND(P68="เปลี่ยนเป็นหน่วยงานผู้เชี่ยวชาญ",Q68=""),"⚠ ยังไม่ระบุหน่วยงานผู้เชี่ยวชาญ","")))))</f>
        <v/>
      </c>
      <c r="U68" s="69">
        <f>IF(AND(P68="ตัด D2",ISNUMBER(D68),ISNUMBER(F68)),D68*F68,"")</f>
        <v/>
      </c>
      <c r="V68" s="73" t="n"/>
      <c r="W68" s="70">
        <f>IF(C68="","",IF(AND(ISNUMBER(D68),D68=0),"✔ ไม่เคยทำ (ข้าม)",IF(COUNTA(D68:P68)=0,"○ ยังไม่เริ่ม",IF(IF(D68="","จำนวน/ปี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","")="","✔ ครบ","⏳ ขาด: "&amp;TRIM(IF(D68="","จำนวน/ปี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",""))))))</f>
        <v/>
      </c>
    </row>
    <row r="69">
      <c r="A69" s="72" t="n"/>
      <c r="B69" s="73" t="n"/>
      <c r="C69" s="73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69">
        <f>IF(COUNTA(G69:I69,M69)&lt;4,"",Settings!$C$5*(G69="Yes")+Settings!$C$6*(H69="Yes")+Settings!$C$7*(I69="Yes")+Settings!$C$8*(M69="No"))</f>
        <v/>
      </c>
      <c r="S69" s="69">
        <f>IF(R69="","",IF(R69&gt;=Settings!$C$13,"สูง",IF(R69&gt;=Settings!$C$12,"ปานกลาง","ต่ำ")))</f>
        <v/>
      </c>
      <c r="T69" s="70">
        <f>IF(OR(S69="",P69=""),"",IF(AND(S69="สูง",P69="ตัด D2"),"⚠ เสี่ยงสูงแต่เสนอตัด D2 — ควรทบทวน",IF(AND(S69="ต่ำ",P69="คง D2"),"ℹ เสี่ยงต่ำแต่เสนอคง D2 — อาจควบคุมเกินจำเป็น",IF(AND(P69="เปลี่ยนเป็นหน่วยงานผู้เชี่ยวชาญ",M69="No"),"⚠ เสนอโอน แต่ตอบว่ายังไม่มีผู้เชี่ยวชาญตรวจ",IF(AND(P69="เปลี่ยนเป็นหน่วยงานผู้เชี่ยวชาญ",Q69=""),"⚠ ยังไม่ระบุหน่วยงานผู้เชี่ยวชาญ","")))))</f>
        <v/>
      </c>
      <c r="U69" s="69">
        <f>IF(AND(P69="ตัด D2",ISNUMBER(D69),ISNUMBER(F69)),D69*F69,"")</f>
        <v/>
      </c>
      <c r="V69" s="73" t="n"/>
      <c r="W69" s="70">
        <f>IF(C69="","",IF(AND(ISNUMBER(D69),D69=0),"✔ ไม่เคยทำ (ข้าม)",IF(COUNTA(D69:P69)=0,"○ ยังไม่เริ่ม",IF(IF(D69="","จำนวน/ปี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","")="","✔ ครบ","⏳ ขาด: "&amp;TRIM(IF(D69="","จำนวน/ปี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",""))))))</f>
        <v/>
      </c>
    </row>
    <row r="70">
      <c r="A70" s="72" t="n"/>
      <c r="B70" s="73" t="n"/>
      <c r="C70" s="73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69">
        <f>IF(COUNTA(G70:I70,M70)&lt;4,"",Settings!$C$5*(G70="Yes")+Settings!$C$6*(H70="Yes")+Settings!$C$7*(I70="Yes")+Settings!$C$8*(M70="No"))</f>
        <v/>
      </c>
      <c r="S70" s="69">
        <f>IF(R70="","",IF(R70&gt;=Settings!$C$13,"สูง",IF(R70&gt;=Settings!$C$12,"ปานกลาง","ต่ำ")))</f>
        <v/>
      </c>
      <c r="T70" s="70">
        <f>IF(OR(S70="",P70=""),"",IF(AND(S70="สูง",P70="ตัด D2"),"⚠ เสี่ยงสูงแต่เสนอตัด D2 — ควรทบทวน",IF(AND(S70="ต่ำ",P70="คง D2"),"ℹ เสี่ยงต่ำแต่เสนอคง D2 — อาจควบคุมเกินจำเป็น",IF(AND(P70="เปลี่ยนเป็นหน่วยงานผู้เชี่ยวชาญ",M70="No"),"⚠ เสนอโอน แต่ตอบว่ายังไม่มีผู้เชี่ยวชาญตรวจ",IF(AND(P70="เปลี่ยนเป็นหน่วยงานผู้เชี่ยวชาญ",Q70=""),"⚠ ยังไม่ระบุหน่วยงานผู้เชี่ยวชาญ","")))))</f>
        <v/>
      </c>
      <c r="U70" s="69">
        <f>IF(AND(P70="ตัด D2",ISNUMBER(D70),ISNUMBER(F70)),D70*F70,"")</f>
        <v/>
      </c>
      <c r="V70" s="73" t="n"/>
      <c r="W70" s="70">
        <f>IF(C70="","",IF(AND(ISNUMBER(D70),D70=0),"✔ ไม่เคยทำ (ข้าม)",IF(COUNTA(D70:P70)=0,"○ ยังไม่เริ่ม",IF(IF(D70="","จำนวน/ปี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","")="","✔ ครบ","⏳ ขาด: "&amp;TRIM(IF(D70="","จำนวน/ปี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",""))))))</f>
        <v/>
      </c>
    </row>
    <row r="71">
      <c r="A71" s="72" t="n"/>
      <c r="B71" s="73" t="n"/>
      <c r="C71" s="73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69">
        <f>IF(COUNTA(G71:I71,M71)&lt;4,"",Settings!$C$5*(G71="Yes")+Settings!$C$6*(H71="Yes")+Settings!$C$7*(I71="Yes")+Settings!$C$8*(M71="No"))</f>
        <v/>
      </c>
      <c r="S71" s="69">
        <f>IF(R71="","",IF(R71&gt;=Settings!$C$13,"สูง",IF(R71&gt;=Settings!$C$12,"ปานกลาง","ต่ำ")))</f>
        <v/>
      </c>
      <c r="T71" s="70">
        <f>IF(OR(S71="",P71=""),"",IF(AND(S71="สูง",P71="ตัด D2"),"⚠ เสี่ยงสูงแต่เสนอตัด D2 — ควรทบทวน",IF(AND(S71="ต่ำ",P71="คง D2"),"ℹ เสี่ยงต่ำแต่เสนอคง D2 — อาจควบคุมเกินจำเป็น",IF(AND(P71="เปลี่ยนเป็นหน่วยงานผู้เชี่ยวชาญ",M71="No"),"⚠ เสนอโอน แต่ตอบว่ายังไม่มีผู้เชี่ยวชาญตรวจ",IF(AND(P71="เปลี่ยนเป็นหน่วยงานผู้เชี่ยวชาญ",Q71=""),"⚠ ยังไม่ระบุหน่วยงานผู้เชี่ยวชาญ","")))))</f>
        <v/>
      </c>
      <c r="U71" s="69">
        <f>IF(AND(P71="ตัด D2",ISNUMBER(D71),ISNUMBER(F71)),D71*F71,"")</f>
        <v/>
      </c>
      <c r="V71" s="73" t="n"/>
      <c r="W71" s="70">
        <f>IF(C71="","",IF(AND(ISNUMBER(D71),D71=0),"✔ ไม่เคยทำ (ข้าม)",IF(COUNTA(D71:P71)=0,"○ ยังไม่เริ่ม",IF(IF(D71="","จำนวน/ปี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","")="","✔ ครบ","⏳ ขาด: "&amp;TRIM(IF(D71="","จำนวน/ปี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",""))))))</f>
        <v/>
      </c>
    </row>
    <row r="72">
      <c r="A72" s="72" t="n"/>
      <c r="B72" s="73" t="n"/>
      <c r="C72" s="73" t="n"/>
      <c r="D72" s="72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69">
        <f>IF(COUNTA(G72:I72,M72)&lt;4,"",Settings!$C$5*(G72="Yes")+Settings!$C$6*(H72="Yes")+Settings!$C$7*(I72="Yes")+Settings!$C$8*(M72="No"))</f>
        <v/>
      </c>
      <c r="S72" s="69">
        <f>IF(R72="","",IF(R72&gt;=Settings!$C$13,"สูง",IF(R72&gt;=Settings!$C$12,"ปานกลาง","ต่ำ")))</f>
        <v/>
      </c>
      <c r="T72" s="70">
        <f>IF(OR(S72="",P72=""),"",IF(AND(S72="สูง",P72="ตัด D2"),"⚠ เสี่ยงสูงแต่เสนอตัด D2 — ควรทบทวน",IF(AND(S72="ต่ำ",P72="คง D2"),"ℹ เสี่ยงต่ำแต่เสนอคง D2 — อาจควบคุมเกินจำเป็น",IF(AND(P72="เปลี่ยนเป็นหน่วยงานผู้เชี่ยวชาญ",M72="No"),"⚠ เสนอโอน แต่ตอบว่ายังไม่มีผู้เชี่ยวชาญตรวจ",IF(AND(P72="เปลี่ยนเป็นหน่วยงานผู้เชี่ยวชาญ",Q72=""),"⚠ ยังไม่ระบุหน่วยงานผู้เชี่ยวชาญ","")))))</f>
        <v/>
      </c>
      <c r="U72" s="69">
        <f>IF(AND(P72="ตัด D2",ISNUMBER(D72),ISNUMBER(F72)),D72*F72,"")</f>
        <v/>
      </c>
      <c r="V72" s="73" t="n"/>
      <c r="W72" s="70">
        <f>IF(C72="","",IF(AND(ISNUMBER(D72),D72=0),"✔ ไม่เคยทำ (ข้าม)",IF(COUNTA(D72:P72)=0,"○ ยังไม่เริ่ม",IF(IF(D72="","จำนวน/ปี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","")="","✔ ครบ","⏳ ขาด: "&amp;TRIM(IF(D72="","จำนวน/ปี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",""))))))</f>
        <v/>
      </c>
    </row>
    <row r="73">
      <c r="A73" s="72" t="n"/>
      <c r="B73" s="73" t="n"/>
      <c r="C73" s="73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69">
        <f>IF(COUNTA(G73:I73,M73)&lt;4,"",Settings!$C$5*(G73="Yes")+Settings!$C$6*(H73="Yes")+Settings!$C$7*(I73="Yes")+Settings!$C$8*(M73="No"))</f>
        <v/>
      </c>
      <c r="S73" s="69">
        <f>IF(R73="","",IF(R73&gt;=Settings!$C$13,"สูง",IF(R73&gt;=Settings!$C$12,"ปานกลาง","ต่ำ")))</f>
        <v/>
      </c>
      <c r="T73" s="70">
        <f>IF(OR(S73="",P73=""),"",IF(AND(S73="สูง",P73="ตัด D2"),"⚠ เสี่ยงสูงแต่เสนอตัด D2 — ควรทบทวน",IF(AND(S73="ต่ำ",P73="คง D2"),"ℹ เสี่ยงต่ำแต่เสนอคง D2 — อาจควบคุมเกินจำเป็น",IF(AND(P73="เปลี่ยนเป็นหน่วยงานผู้เชี่ยวชาญ",M73="No"),"⚠ เสนอโอน แต่ตอบว่ายังไม่มีผู้เชี่ยวชาญตรวจ",IF(AND(P73="เปลี่ยนเป็นหน่วยงานผู้เชี่ยวชาญ",Q73=""),"⚠ ยังไม่ระบุหน่วยงานผู้เชี่ยวชาญ","")))))</f>
        <v/>
      </c>
      <c r="U73" s="69">
        <f>IF(AND(P73="ตัด D2",ISNUMBER(D73),ISNUMBER(F73)),D73*F73,"")</f>
        <v/>
      </c>
      <c r="V73" s="73" t="n"/>
      <c r="W73" s="70">
        <f>IF(C73="","",IF(AND(ISNUMBER(D73),D73=0),"✔ ไม่เคยทำ (ข้าม)",IF(COUNTA(D73:P73)=0,"○ ยังไม่เริ่ม",IF(IF(D73="","จำนวน/ปี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","")="","✔ ครบ","⏳ ขาด: "&amp;TRIM(IF(D73="","จำนวน/ปี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",""))))))</f>
        <v/>
      </c>
    </row>
    <row r="74">
      <c r="A74" s="72" t="n"/>
      <c r="B74" s="73" t="n"/>
      <c r="C74" s="73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69">
        <f>IF(COUNTA(G74:I74,M74)&lt;4,"",Settings!$C$5*(G74="Yes")+Settings!$C$6*(H74="Yes")+Settings!$C$7*(I74="Yes")+Settings!$C$8*(M74="No"))</f>
        <v/>
      </c>
      <c r="S74" s="69">
        <f>IF(R74="","",IF(R74&gt;=Settings!$C$13,"สูง",IF(R74&gt;=Settings!$C$12,"ปานกลาง","ต่ำ")))</f>
        <v/>
      </c>
      <c r="T74" s="70">
        <f>IF(OR(S74="",P74=""),"",IF(AND(S74="สูง",P74="ตัด D2"),"⚠ เสี่ยงสูงแต่เสนอตัด D2 — ควรทบทวน",IF(AND(S74="ต่ำ",P74="คง D2"),"ℹ เสี่ยงต่ำแต่เสนอคง D2 — อาจควบคุมเกินจำเป็น",IF(AND(P74="เปลี่ยนเป็นหน่วยงานผู้เชี่ยวชาญ",M74="No"),"⚠ เสนอโอน แต่ตอบว่ายังไม่มีผู้เชี่ยวชาญตรวจ",IF(AND(P74="เปลี่ยนเป็นหน่วยงานผู้เชี่ยวชาญ",Q74=""),"⚠ ยังไม่ระบุหน่วยงานผู้เชี่ยวชาญ","")))))</f>
        <v/>
      </c>
      <c r="U74" s="69">
        <f>IF(AND(P74="ตัด D2",ISNUMBER(D74),ISNUMBER(F74)),D74*F74,"")</f>
        <v/>
      </c>
      <c r="V74" s="73" t="n"/>
      <c r="W74" s="70">
        <f>IF(C74="","",IF(AND(ISNUMBER(D74),D74=0),"✔ ไม่เคยทำ (ข้าม)",IF(COUNTA(D74:P74)=0,"○ ยังไม่เริ่ม",IF(IF(D74="","จำนวน/ปี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","")="","✔ ครบ","⏳ ขาด: "&amp;TRIM(IF(D74="","จำนวน/ปี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",""))))))</f>
        <v/>
      </c>
    </row>
    <row r="75">
      <c r="A75" s="72" t="n"/>
      <c r="B75" s="73" t="n"/>
      <c r="C75" s="73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69">
        <f>IF(COUNTA(G75:I75,M75)&lt;4,"",Settings!$C$5*(G75="Yes")+Settings!$C$6*(H75="Yes")+Settings!$C$7*(I75="Yes")+Settings!$C$8*(M75="No"))</f>
        <v/>
      </c>
      <c r="S75" s="69">
        <f>IF(R75="","",IF(R75&gt;=Settings!$C$13,"สูง",IF(R75&gt;=Settings!$C$12,"ปานกลาง","ต่ำ")))</f>
        <v/>
      </c>
      <c r="T75" s="70">
        <f>IF(OR(S75="",P75=""),"",IF(AND(S75="สูง",P75="ตัด D2"),"⚠ เสี่ยงสูงแต่เสนอตัด D2 — ควรทบทวน",IF(AND(S75="ต่ำ",P75="คง D2"),"ℹ เสี่ยงต่ำแต่เสนอคง D2 — อาจควบคุมเกินจำเป็น",IF(AND(P75="เปลี่ยนเป็นหน่วยงานผู้เชี่ยวชาญ",M75="No"),"⚠ เสนอโอน แต่ตอบว่ายังไม่มีผู้เชี่ยวชาญตรวจ",IF(AND(P75="เปลี่ยนเป็นหน่วยงานผู้เชี่ยวชาญ",Q75=""),"⚠ ยังไม่ระบุหน่วยงานผู้เชี่ยวชาญ","")))))</f>
        <v/>
      </c>
      <c r="U75" s="69">
        <f>IF(AND(P75="ตัด D2",ISNUMBER(D75),ISNUMBER(F75)),D75*F75,"")</f>
        <v/>
      </c>
      <c r="V75" s="73" t="n"/>
      <c r="W75" s="70">
        <f>IF(C75="","",IF(AND(ISNUMBER(D75),D75=0),"✔ ไม่เคยทำ (ข้าม)",IF(COUNTA(D75:P75)=0,"○ ยังไม่เริ่ม",IF(IF(D75="","จำนวน/ปี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","")="","✔ ครบ","⏳ ขาด: "&amp;TRIM(IF(D75="","จำนวน/ปี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",""))))))</f>
        <v/>
      </c>
    </row>
    <row r="76">
      <c r="A76" s="72" t="n"/>
      <c r="B76" s="73" t="n"/>
      <c r="C76" s="73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69">
        <f>IF(COUNTA(G76:I76,M76)&lt;4,"",Settings!$C$5*(G76="Yes")+Settings!$C$6*(H76="Yes")+Settings!$C$7*(I76="Yes")+Settings!$C$8*(M76="No"))</f>
        <v/>
      </c>
      <c r="S76" s="69">
        <f>IF(R76="","",IF(R76&gt;=Settings!$C$13,"สูง",IF(R76&gt;=Settings!$C$12,"ปานกลาง","ต่ำ")))</f>
        <v/>
      </c>
      <c r="T76" s="70">
        <f>IF(OR(S76="",P76=""),"",IF(AND(S76="สูง",P76="ตัด D2"),"⚠ เสี่ยงสูงแต่เสนอตัด D2 — ควรทบทวน",IF(AND(S76="ต่ำ",P76="คง D2"),"ℹ เสี่ยงต่ำแต่เสนอคง D2 — อาจควบคุมเกินจำเป็น",IF(AND(P76="เปลี่ยนเป็นหน่วยงานผู้เชี่ยวชาญ",M76="No"),"⚠ เสนอโอน แต่ตอบว่ายังไม่มีผู้เชี่ยวชาญตรวจ",IF(AND(P76="เปลี่ยนเป็นหน่วยงานผู้เชี่ยวชาญ",Q76=""),"⚠ ยังไม่ระบุหน่วยงานผู้เชี่ยวชาญ","")))))</f>
        <v/>
      </c>
      <c r="U76" s="69">
        <f>IF(AND(P76="ตัด D2",ISNUMBER(D76),ISNUMBER(F76)),D76*F76,"")</f>
        <v/>
      </c>
      <c r="V76" s="73" t="n"/>
      <c r="W76" s="70">
        <f>IF(C76="","",IF(AND(ISNUMBER(D76),D76=0),"✔ ไม่เคยทำ (ข้าม)",IF(COUNTA(D76:P76)=0,"○ ยังไม่เริ่ม",IF(IF(D76="","จำนวน/ปี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","")="","✔ ครบ","⏳ ขาด: "&amp;TRIM(IF(D76="","จำนวน/ปี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",""))))))</f>
        <v/>
      </c>
    </row>
    <row r="77">
      <c r="A77" s="72" t="n"/>
      <c r="B77" s="73" t="n"/>
      <c r="C77" s="73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69">
        <f>IF(COUNTA(G77:I77,M77)&lt;4,"",Settings!$C$5*(G77="Yes")+Settings!$C$6*(H77="Yes")+Settings!$C$7*(I77="Yes")+Settings!$C$8*(M77="No"))</f>
        <v/>
      </c>
      <c r="S77" s="69">
        <f>IF(R77="","",IF(R77&gt;=Settings!$C$13,"สูง",IF(R77&gt;=Settings!$C$12,"ปานกลาง","ต่ำ")))</f>
        <v/>
      </c>
      <c r="T77" s="70">
        <f>IF(OR(S77="",P77=""),"",IF(AND(S77="สูง",P77="ตัด D2"),"⚠ เสี่ยงสูงแต่เสนอตัด D2 — ควรทบทวน",IF(AND(S77="ต่ำ",P77="คง D2"),"ℹ เสี่ยงต่ำแต่เสนอคง D2 — อาจควบคุมเกินจำเป็น",IF(AND(P77="เปลี่ยนเป็นหน่วยงานผู้เชี่ยวชาญ",M77="No"),"⚠ เสนอโอน แต่ตอบว่ายังไม่มีผู้เชี่ยวชาญตรวจ",IF(AND(P77="เปลี่ยนเป็นหน่วยงานผู้เชี่ยวชาญ",Q77=""),"⚠ ยังไม่ระบุหน่วยงานผู้เชี่ยวชาญ","")))))</f>
        <v/>
      </c>
      <c r="U77" s="69">
        <f>IF(AND(P77="ตัด D2",ISNUMBER(D77),ISNUMBER(F77)),D77*F77,"")</f>
        <v/>
      </c>
      <c r="V77" s="73" t="n"/>
      <c r="W77" s="70">
        <f>IF(C77="","",IF(AND(ISNUMBER(D77),D77=0),"✔ ไม่เคยทำ (ข้าม)",IF(COUNTA(D77:P77)=0,"○ ยังไม่เริ่ม",IF(IF(D77="","จำนวน/ปี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","")="","✔ ครบ","⏳ ขาด: "&amp;TRIM(IF(D77="","จำนวน/ปี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",""))))))</f>
        <v/>
      </c>
    </row>
    <row r="78">
      <c r="A78" s="72" t="n"/>
      <c r="B78" s="73" t="n"/>
      <c r="C78" s="73" t="n"/>
      <c r="D78" s="72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  <c r="N78" s="72" t="n"/>
      <c r="O78" s="72" t="n"/>
      <c r="P78" s="72" t="n"/>
      <c r="Q78" s="72" t="n"/>
      <c r="R78" s="69">
        <f>IF(COUNTA(G78:I78,M78)&lt;4,"",Settings!$C$5*(G78="Yes")+Settings!$C$6*(H78="Yes")+Settings!$C$7*(I78="Yes")+Settings!$C$8*(M78="No"))</f>
        <v/>
      </c>
      <c r="S78" s="69">
        <f>IF(R78="","",IF(R78&gt;=Settings!$C$13,"สูง",IF(R78&gt;=Settings!$C$12,"ปานกลาง","ต่ำ")))</f>
        <v/>
      </c>
      <c r="T78" s="70">
        <f>IF(OR(S78="",P78=""),"",IF(AND(S78="สูง",P78="ตัด D2"),"⚠ เสี่ยงสูงแต่เสนอตัด D2 — ควรทบทวน",IF(AND(S78="ต่ำ",P78="คง D2"),"ℹ เสี่ยงต่ำแต่เสนอคง D2 — อาจควบคุมเกินจำเป็น",IF(AND(P78="เปลี่ยนเป็นหน่วยงานผู้เชี่ยวชาญ",M78="No"),"⚠ เสนอโอน แต่ตอบว่ายังไม่มีผู้เชี่ยวชาญตรวจ",IF(AND(P78="เปลี่ยนเป็นหน่วยงานผู้เชี่ยวชาญ",Q78=""),"⚠ ยังไม่ระบุหน่วยงานผู้เชี่ยวชาญ","")))))</f>
        <v/>
      </c>
      <c r="U78" s="69">
        <f>IF(AND(P78="ตัด D2",ISNUMBER(D78),ISNUMBER(F78)),D78*F78,"")</f>
        <v/>
      </c>
      <c r="V78" s="73" t="n"/>
      <c r="W78" s="70">
        <f>IF(C78="","",IF(AND(ISNUMBER(D78),D78=0),"✔ ไม่เคยทำ (ข้าม)",IF(COUNTA(D78:P78)=0,"○ ยังไม่เริ่ม",IF(IF(D78="","จำนวน/ปี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","")="","✔ ครบ","⏳ ขาด: "&amp;TRIM(IF(D78="","จำนวน/ปี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",""))))))</f>
        <v/>
      </c>
    </row>
    <row r="79">
      <c r="A79" s="72" t="n"/>
      <c r="B79" s="73" t="n"/>
      <c r="C79" s="73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69">
        <f>IF(COUNTA(G79:I79,M79)&lt;4,"",Settings!$C$5*(G79="Yes")+Settings!$C$6*(H79="Yes")+Settings!$C$7*(I79="Yes")+Settings!$C$8*(M79="No"))</f>
        <v/>
      </c>
      <c r="S79" s="69">
        <f>IF(R79="","",IF(R79&gt;=Settings!$C$13,"สูง",IF(R79&gt;=Settings!$C$12,"ปานกลาง","ต่ำ")))</f>
        <v/>
      </c>
      <c r="T79" s="70">
        <f>IF(OR(S79="",P79=""),"",IF(AND(S79="สูง",P79="ตัด D2"),"⚠ เสี่ยงสูงแต่เสนอตัด D2 — ควรทบทวน",IF(AND(S79="ต่ำ",P79="คง D2"),"ℹ เสี่ยงต่ำแต่เสนอคง D2 — อาจควบคุมเกินจำเป็น",IF(AND(P79="เปลี่ยนเป็นหน่วยงานผู้เชี่ยวชาญ",M79="No"),"⚠ เสนอโอน แต่ตอบว่ายังไม่มีผู้เชี่ยวชาญตรวจ",IF(AND(P79="เปลี่ยนเป็นหน่วยงานผู้เชี่ยวชาญ",Q79=""),"⚠ ยังไม่ระบุหน่วยงานผู้เชี่ยวชาญ","")))))</f>
        <v/>
      </c>
      <c r="U79" s="69">
        <f>IF(AND(P79="ตัด D2",ISNUMBER(D79),ISNUMBER(F79)),D79*F79,"")</f>
        <v/>
      </c>
      <c r="V79" s="73" t="n"/>
      <c r="W79" s="70">
        <f>IF(C79="","",IF(AND(ISNUMBER(D79),D79=0),"✔ ไม่เคยทำ (ข้าม)",IF(COUNTA(D79:P79)=0,"○ ยังไม่เริ่ม",IF(IF(D79="","จำนวน/ปี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","")="","✔ ครบ","⏳ ขาด: "&amp;TRIM(IF(D79="","จำนวน/ปี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",""))))))</f>
        <v/>
      </c>
    </row>
    <row r="80">
      <c r="A80" s="72" t="n"/>
      <c r="B80" s="73" t="n"/>
      <c r="C80" s="73" t="n"/>
      <c r="D80" s="72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69">
        <f>IF(COUNTA(G80:I80,M80)&lt;4,"",Settings!$C$5*(G80="Yes")+Settings!$C$6*(H80="Yes")+Settings!$C$7*(I80="Yes")+Settings!$C$8*(M80="No"))</f>
        <v/>
      </c>
      <c r="S80" s="69">
        <f>IF(R80="","",IF(R80&gt;=Settings!$C$13,"สูง",IF(R80&gt;=Settings!$C$12,"ปานกลาง","ต่ำ")))</f>
        <v/>
      </c>
      <c r="T80" s="70">
        <f>IF(OR(S80="",P80=""),"",IF(AND(S80="สูง",P80="ตัด D2"),"⚠ เสี่ยงสูงแต่เสนอตัด D2 — ควรทบทวน",IF(AND(S80="ต่ำ",P80="คง D2"),"ℹ เสี่ยงต่ำแต่เสนอคง D2 — อาจควบคุมเกินจำเป็น",IF(AND(P80="เปลี่ยนเป็นหน่วยงานผู้เชี่ยวชาญ",M80="No"),"⚠ เสนอโอน แต่ตอบว่ายังไม่มีผู้เชี่ยวชาญตรวจ",IF(AND(P80="เปลี่ยนเป็นหน่วยงานผู้เชี่ยวชาญ",Q80=""),"⚠ ยังไม่ระบุหน่วยงานผู้เชี่ยวชาญ","")))))</f>
        <v/>
      </c>
      <c r="U80" s="69">
        <f>IF(AND(P80="ตัด D2",ISNUMBER(D80),ISNUMBER(F80)),D80*F80,"")</f>
        <v/>
      </c>
      <c r="V80" s="73" t="n"/>
      <c r="W80" s="70">
        <f>IF(C80="","",IF(AND(ISNUMBER(D80),D80=0),"✔ ไม่เคยทำ (ข้าม)",IF(COUNTA(D80:P80)=0,"○ ยังไม่เริ่ม",IF(IF(D80="","จำนวน/ปี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","")="","✔ ครบ","⏳ ขาด: "&amp;TRIM(IF(D80="","จำนวน/ปี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",""))))))</f>
        <v/>
      </c>
    </row>
    <row r="81">
      <c r="A81" s="72" t="n"/>
      <c r="B81" s="73" t="n"/>
      <c r="C81" s="73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69">
        <f>IF(COUNTA(G81:I81,M81)&lt;4,"",Settings!$C$5*(G81="Yes")+Settings!$C$6*(H81="Yes")+Settings!$C$7*(I81="Yes")+Settings!$C$8*(M81="No"))</f>
        <v/>
      </c>
      <c r="S81" s="69">
        <f>IF(R81="","",IF(R81&gt;=Settings!$C$13,"สูง",IF(R81&gt;=Settings!$C$12,"ปานกลาง","ต่ำ")))</f>
        <v/>
      </c>
      <c r="T81" s="70">
        <f>IF(OR(S81="",P81=""),"",IF(AND(S81="สูง",P81="ตัด D2"),"⚠ เสี่ยงสูงแต่เสนอตัด D2 — ควรทบทวน",IF(AND(S81="ต่ำ",P81="คง D2"),"ℹ เสี่ยงต่ำแต่เสนอคง D2 — อาจควบคุมเกินจำเป็น",IF(AND(P81="เปลี่ยนเป็นหน่วยงานผู้เชี่ยวชาญ",M81="No"),"⚠ เสนอโอน แต่ตอบว่ายังไม่มีผู้เชี่ยวชาญตรวจ",IF(AND(P81="เปลี่ยนเป็นหน่วยงานผู้เชี่ยวชาญ",Q81=""),"⚠ ยังไม่ระบุหน่วยงานผู้เชี่ยวชาญ","")))))</f>
        <v/>
      </c>
      <c r="U81" s="69">
        <f>IF(AND(P81="ตัด D2",ISNUMBER(D81),ISNUMBER(F81)),D81*F81,"")</f>
        <v/>
      </c>
      <c r="V81" s="73" t="n"/>
      <c r="W81" s="70">
        <f>IF(C81="","",IF(AND(ISNUMBER(D81),D81=0),"✔ ไม่เคยทำ (ข้าม)",IF(COUNTA(D81:P81)=0,"○ ยังไม่เริ่ม",IF(IF(D81="","จำนวน/ปี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","")="","✔ ครบ","⏳ ขาด: "&amp;TRIM(IF(D81="","จำนวน/ปี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",""))))))</f>
        <v/>
      </c>
    </row>
    <row r="82">
      <c r="A82" s="72" t="n"/>
      <c r="B82" s="73" t="n"/>
      <c r="C82" s="73" t="n"/>
      <c r="D82" s="72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69">
        <f>IF(COUNTA(G82:I82,M82)&lt;4,"",Settings!$C$5*(G82="Yes")+Settings!$C$6*(H82="Yes")+Settings!$C$7*(I82="Yes")+Settings!$C$8*(M82="No"))</f>
        <v/>
      </c>
      <c r="S82" s="69">
        <f>IF(R82="","",IF(R82&gt;=Settings!$C$13,"สูง",IF(R82&gt;=Settings!$C$12,"ปานกลาง","ต่ำ")))</f>
        <v/>
      </c>
      <c r="T82" s="70">
        <f>IF(OR(S82="",P82=""),"",IF(AND(S82="สูง",P82="ตัด D2"),"⚠ เสี่ยงสูงแต่เสนอตัด D2 — ควรทบทวน",IF(AND(S82="ต่ำ",P82="คง D2"),"ℹ เสี่ยงต่ำแต่เสนอคง D2 — อาจควบคุมเกินจำเป็น",IF(AND(P82="เปลี่ยนเป็นหน่วยงานผู้เชี่ยวชาญ",M82="No"),"⚠ เสนอโอน แต่ตอบว่ายังไม่มีผู้เชี่ยวชาญตรวจ",IF(AND(P82="เปลี่ยนเป็นหน่วยงานผู้เชี่ยวชาญ",Q82=""),"⚠ ยังไม่ระบุหน่วยงานผู้เชี่ยวชาญ","")))))</f>
        <v/>
      </c>
      <c r="U82" s="69">
        <f>IF(AND(P82="ตัด D2",ISNUMBER(D82),ISNUMBER(F82)),D82*F82,"")</f>
        <v/>
      </c>
      <c r="V82" s="73" t="n"/>
      <c r="W82" s="70">
        <f>IF(C82="","",IF(AND(ISNUMBER(D82),D82=0),"✔ ไม่เคยทำ (ข้าม)",IF(COUNTA(D82:P82)=0,"○ ยังไม่เริ่ม",IF(IF(D82="","จำนวน/ปี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","")="","✔ ครบ","⏳ ขาด: "&amp;TRIM(IF(D82="","จำนวน/ปี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",""))))))</f>
        <v/>
      </c>
    </row>
    <row r="83">
      <c r="A83" s="72" t="n"/>
      <c r="B83" s="73" t="n"/>
      <c r="C83" s="73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69">
        <f>IF(COUNTA(G83:I83,M83)&lt;4,"",Settings!$C$5*(G83="Yes")+Settings!$C$6*(H83="Yes")+Settings!$C$7*(I83="Yes")+Settings!$C$8*(M83="No"))</f>
        <v/>
      </c>
      <c r="S83" s="69">
        <f>IF(R83="","",IF(R83&gt;=Settings!$C$13,"สูง",IF(R83&gt;=Settings!$C$12,"ปานกลาง","ต่ำ")))</f>
        <v/>
      </c>
      <c r="T83" s="70">
        <f>IF(OR(S83="",P83=""),"",IF(AND(S83="สูง",P83="ตัด D2"),"⚠ เสี่ยงสูงแต่เสนอตัด D2 — ควรทบทวน",IF(AND(S83="ต่ำ",P83="คง D2"),"ℹ เสี่ยงต่ำแต่เสนอคง D2 — อาจควบคุมเกินจำเป็น",IF(AND(P83="เปลี่ยนเป็นหน่วยงานผู้เชี่ยวชาญ",M83="No"),"⚠ เสนอโอน แต่ตอบว่ายังไม่มีผู้เชี่ยวชาญตรวจ",IF(AND(P83="เปลี่ยนเป็นหน่วยงานผู้เชี่ยวชาญ",Q83=""),"⚠ ยังไม่ระบุหน่วยงานผู้เชี่ยวชาญ","")))))</f>
        <v/>
      </c>
      <c r="U83" s="69">
        <f>IF(AND(P83="ตัด D2",ISNUMBER(D83),ISNUMBER(F83)),D83*F83,"")</f>
        <v/>
      </c>
      <c r="V83" s="73" t="n"/>
      <c r="W83" s="70">
        <f>IF(C83="","",IF(AND(ISNUMBER(D83),D83=0),"✔ ไม่เคยทำ (ข้าม)",IF(COUNTA(D83:P83)=0,"○ ยังไม่เริ่ม",IF(IF(D83="","จำนวน/ปี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","")="","✔ ครบ","⏳ ขาด: "&amp;TRIM(IF(D83="","จำนวน/ปี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",""))))))</f>
        <v/>
      </c>
    </row>
    <row r="84">
      <c r="A84" s="72" t="n"/>
      <c r="B84" s="73" t="n"/>
      <c r="C84" s="73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69">
        <f>IF(COUNTA(G84:I84,M84)&lt;4,"",Settings!$C$5*(G84="Yes")+Settings!$C$6*(H84="Yes")+Settings!$C$7*(I84="Yes")+Settings!$C$8*(M84="No"))</f>
        <v/>
      </c>
      <c r="S84" s="69">
        <f>IF(R84="","",IF(R84&gt;=Settings!$C$13,"สูง",IF(R84&gt;=Settings!$C$12,"ปานกลาง","ต่ำ")))</f>
        <v/>
      </c>
      <c r="T84" s="70">
        <f>IF(OR(S84="",P84=""),"",IF(AND(S84="สูง",P84="ตัด D2"),"⚠ เสี่ยงสูงแต่เสนอตัด D2 — ควรทบทวน",IF(AND(S84="ต่ำ",P84="คง D2"),"ℹ เสี่ยงต่ำแต่เสนอคง D2 — อาจควบคุมเกินจำเป็น",IF(AND(P84="เปลี่ยนเป็นหน่วยงานผู้เชี่ยวชาญ",M84="No"),"⚠ เสนอโอน แต่ตอบว่ายังไม่มีผู้เชี่ยวชาญตรวจ",IF(AND(P84="เปลี่ยนเป็นหน่วยงานผู้เชี่ยวชาญ",Q84=""),"⚠ ยังไม่ระบุหน่วยงานผู้เชี่ยวชาญ","")))))</f>
        <v/>
      </c>
      <c r="U84" s="69">
        <f>IF(AND(P84="ตัด D2",ISNUMBER(D84),ISNUMBER(F84)),D84*F84,"")</f>
        <v/>
      </c>
      <c r="V84" s="73" t="n"/>
      <c r="W84" s="70">
        <f>IF(C84="","",IF(AND(ISNUMBER(D84),D84=0),"✔ ไม่เคยทำ (ข้าม)",IF(COUNTA(D84:P84)=0,"○ ยังไม่เริ่ม",IF(IF(D84="","จำนวน/ปี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","")="","✔ ครบ","⏳ ขาด: "&amp;TRIM(IF(D84="","จำนวน/ปี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",""))))))</f>
        <v/>
      </c>
    </row>
    <row r="85">
      <c r="A85" s="72" t="n"/>
      <c r="B85" s="73" t="n"/>
      <c r="C85" s="73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69">
        <f>IF(COUNTA(G85:I85,M85)&lt;4,"",Settings!$C$5*(G85="Yes")+Settings!$C$6*(H85="Yes")+Settings!$C$7*(I85="Yes")+Settings!$C$8*(M85="No"))</f>
        <v/>
      </c>
      <c r="S85" s="69">
        <f>IF(R85="","",IF(R85&gt;=Settings!$C$13,"สูง",IF(R85&gt;=Settings!$C$12,"ปานกลาง","ต่ำ")))</f>
        <v/>
      </c>
      <c r="T85" s="70">
        <f>IF(OR(S85="",P85=""),"",IF(AND(S85="สูง",P85="ตัด D2"),"⚠ เสี่ยงสูงแต่เสนอตัด D2 — ควรทบทวน",IF(AND(S85="ต่ำ",P85="คง D2"),"ℹ เสี่ยงต่ำแต่เสนอคง D2 — อาจควบคุมเกินจำเป็น",IF(AND(P85="เปลี่ยนเป็นหน่วยงานผู้เชี่ยวชาญ",M85="No"),"⚠ เสนอโอน แต่ตอบว่ายังไม่มีผู้เชี่ยวชาญตรวจ",IF(AND(P85="เปลี่ยนเป็นหน่วยงานผู้เชี่ยวชาญ",Q85=""),"⚠ ยังไม่ระบุหน่วยงานผู้เชี่ยวชาญ","")))))</f>
        <v/>
      </c>
      <c r="U85" s="69">
        <f>IF(AND(P85="ตัด D2",ISNUMBER(D85),ISNUMBER(F85)),D85*F85,"")</f>
        <v/>
      </c>
      <c r="V85" s="73" t="n"/>
      <c r="W85" s="70">
        <f>IF(C85="","",IF(AND(ISNUMBER(D85),D85=0),"✔ ไม่เคยทำ (ข้าม)",IF(COUNTA(D85:P85)=0,"○ ยังไม่เริ่ม",IF(IF(D85="","จำนวน/ปี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","")="","✔ ครบ","⏳ ขาด: "&amp;TRIM(IF(D85="","จำนวน/ปี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",""))))))</f>
        <v/>
      </c>
    </row>
    <row r="86">
      <c r="A86" s="72" t="n"/>
      <c r="B86" s="73" t="n"/>
      <c r="C86" s="73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69">
        <f>IF(COUNTA(G86:I86,M86)&lt;4,"",Settings!$C$5*(G86="Yes")+Settings!$C$6*(H86="Yes")+Settings!$C$7*(I86="Yes")+Settings!$C$8*(M86="No"))</f>
        <v/>
      </c>
      <c r="S86" s="69">
        <f>IF(R86="","",IF(R86&gt;=Settings!$C$13,"สูง",IF(R86&gt;=Settings!$C$12,"ปานกลาง","ต่ำ")))</f>
        <v/>
      </c>
      <c r="T86" s="70">
        <f>IF(OR(S86="",P86=""),"",IF(AND(S86="สูง",P86="ตัด D2"),"⚠ เสี่ยงสูงแต่เสนอตัด D2 — ควรทบทวน",IF(AND(S86="ต่ำ",P86="คง D2"),"ℹ เสี่ยงต่ำแต่เสนอคง D2 — อาจควบคุมเกินจำเป็น",IF(AND(P86="เปลี่ยนเป็นหน่วยงานผู้เชี่ยวชาญ",M86="No"),"⚠ เสนอโอน แต่ตอบว่ายังไม่มีผู้เชี่ยวชาญตรวจ",IF(AND(P86="เปลี่ยนเป็นหน่วยงานผู้เชี่ยวชาญ",Q86=""),"⚠ ยังไม่ระบุหน่วยงานผู้เชี่ยวชาญ","")))))</f>
        <v/>
      </c>
      <c r="U86" s="69">
        <f>IF(AND(P86="ตัด D2",ISNUMBER(D86),ISNUMBER(F86)),D86*F86,"")</f>
        <v/>
      </c>
      <c r="V86" s="73" t="n"/>
      <c r="W86" s="70">
        <f>IF(C86="","",IF(AND(ISNUMBER(D86),D86=0),"✔ ไม่เคยทำ (ข้าม)",IF(COUNTA(D86:P86)=0,"○ ยังไม่เริ่ม",IF(IF(D86="","จำนวน/ปี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","")="","✔ ครบ","⏳ ขาด: "&amp;TRIM(IF(D86="","จำนวน/ปี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",""))))))</f>
        <v/>
      </c>
    </row>
    <row r="87">
      <c r="A87" s="72" t="n"/>
      <c r="B87" s="73" t="n"/>
      <c r="C87" s="73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69">
        <f>IF(COUNTA(G87:I87,M87)&lt;4,"",Settings!$C$5*(G87="Yes")+Settings!$C$6*(H87="Yes")+Settings!$C$7*(I87="Yes")+Settings!$C$8*(M87="No"))</f>
        <v/>
      </c>
      <c r="S87" s="69">
        <f>IF(R87="","",IF(R87&gt;=Settings!$C$13,"สูง",IF(R87&gt;=Settings!$C$12,"ปานกลาง","ต่ำ")))</f>
        <v/>
      </c>
      <c r="T87" s="70">
        <f>IF(OR(S87="",P87=""),"",IF(AND(S87="สูง",P87="ตัด D2"),"⚠ เสี่ยงสูงแต่เสนอตัด D2 — ควรทบทวน",IF(AND(S87="ต่ำ",P87="คง D2"),"ℹ เสี่ยงต่ำแต่เสนอคง D2 — อาจควบคุมเกินจำเป็น",IF(AND(P87="เปลี่ยนเป็นหน่วยงานผู้เชี่ยวชาญ",M87="No"),"⚠ เสนอโอน แต่ตอบว่ายังไม่มีผู้เชี่ยวชาญตรวจ",IF(AND(P87="เปลี่ยนเป็นหน่วยงานผู้เชี่ยวชาญ",Q87=""),"⚠ ยังไม่ระบุหน่วยงานผู้เชี่ยวชาญ","")))))</f>
        <v/>
      </c>
      <c r="U87" s="69">
        <f>IF(AND(P87="ตัด D2",ISNUMBER(D87),ISNUMBER(F87)),D87*F87,"")</f>
        <v/>
      </c>
      <c r="V87" s="73" t="n"/>
      <c r="W87" s="70">
        <f>IF(C87="","",IF(AND(ISNUMBER(D87),D87=0),"✔ ไม่เคยทำ (ข้าม)",IF(COUNTA(D87:P87)=0,"○ ยังไม่เริ่ม",IF(IF(D87="","จำนวน/ปี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","")="","✔ ครบ","⏳ ขาด: "&amp;TRIM(IF(D87="","จำนวน/ปี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",""))))))</f>
        <v/>
      </c>
    </row>
    <row r="88">
      <c r="A88" s="72" t="n"/>
      <c r="B88" s="73" t="n"/>
      <c r="C88" s="73" t="n"/>
      <c r="D88" s="72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69">
        <f>IF(COUNTA(G88:I88,M88)&lt;4,"",Settings!$C$5*(G88="Yes")+Settings!$C$6*(H88="Yes")+Settings!$C$7*(I88="Yes")+Settings!$C$8*(M88="No"))</f>
        <v/>
      </c>
      <c r="S88" s="69">
        <f>IF(R88="","",IF(R88&gt;=Settings!$C$13,"สูง",IF(R88&gt;=Settings!$C$12,"ปานกลาง","ต่ำ")))</f>
        <v/>
      </c>
      <c r="T88" s="70">
        <f>IF(OR(S88="",P88=""),"",IF(AND(S88="สูง",P88="ตัด D2"),"⚠ เสี่ยงสูงแต่เสนอตัด D2 — ควรทบทวน",IF(AND(S88="ต่ำ",P88="คง D2"),"ℹ เสี่ยงต่ำแต่เสนอคง D2 — อาจควบคุมเกินจำเป็น",IF(AND(P88="เปลี่ยนเป็นหน่วยงานผู้เชี่ยวชาญ",M88="No"),"⚠ เสนอโอน แต่ตอบว่ายังไม่มีผู้เชี่ยวชาญตรวจ",IF(AND(P88="เปลี่ยนเป็นหน่วยงานผู้เชี่ยวชาญ",Q88=""),"⚠ ยังไม่ระบุหน่วยงานผู้เชี่ยวชาญ","")))))</f>
        <v/>
      </c>
      <c r="U88" s="69">
        <f>IF(AND(P88="ตัด D2",ISNUMBER(D88),ISNUMBER(F88)),D88*F88,"")</f>
        <v/>
      </c>
      <c r="V88" s="73" t="n"/>
      <c r="W88" s="70">
        <f>IF(C88="","",IF(AND(ISNUMBER(D88),D88=0),"✔ ไม่เคยทำ (ข้าม)",IF(COUNTA(D88:P88)=0,"○ ยังไม่เริ่ม",IF(IF(D88="","จำนวน/ปี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","")="","✔ ครบ","⏳ ขาด: "&amp;TRIM(IF(D88="","จำนวน/ปี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",""))))))</f>
        <v/>
      </c>
    </row>
    <row r="89">
      <c r="A89" s="72" t="n"/>
      <c r="B89" s="73" t="n"/>
      <c r="C89" s="73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69">
        <f>IF(COUNTA(G89:I89,M89)&lt;4,"",Settings!$C$5*(G89="Yes")+Settings!$C$6*(H89="Yes")+Settings!$C$7*(I89="Yes")+Settings!$C$8*(M89="No"))</f>
        <v/>
      </c>
      <c r="S89" s="69">
        <f>IF(R89="","",IF(R89&gt;=Settings!$C$13,"สูง",IF(R89&gt;=Settings!$C$12,"ปานกลาง","ต่ำ")))</f>
        <v/>
      </c>
      <c r="T89" s="70">
        <f>IF(OR(S89="",P89=""),"",IF(AND(S89="สูง",P89="ตัด D2"),"⚠ เสี่ยงสูงแต่เสนอตัด D2 — ควรทบทวน",IF(AND(S89="ต่ำ",P89="คง D2"),"ℹ เสี่ยงต่ำแต่เสนอคง D2 — อาจควบคุมเกินจำเป็น",IF(AND(P89="เปลี่ยนเป็นหน่วยงานผู้เชี่ยวชาญ",M89="No"),"⚠ เสนอโอน แต่ตอบว่ายังไม่มีผู้เชี่ยวชาญตรวจ",IF(AND(P89="เปลี่ยนเป็นหน่วยงานผู้เชี่ยวชาญ",Q89=""),"⚠ ยังไม่ระบุหน่วยงานผู้เชี่ยวชาญ","")))))</f>
        <v/>
      </c>
      <c r="U89" s="69">
        <f>IF(AND(P89="ตัด D2",ISNUMBER(D89),ISNUMBER(F89)),D89*F89,"")</f>
        <v/>
      </c>
      <c r="V89" s="73" t="n"/>
      <c r="W89" s="70">
        <f>IF(C89="","",IF(AND(ISNUMBER(D89),D89=0),"✔ ไม่เคยทำ (ข้าม)",IF(COUNTA(D89:P89)=0,"○ ยังไม่เริ่ม",IF(IF(D89="","จำนวน/ปี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","")="","✔ ครบ","⏳ ขาด: "&amp;TRIM(IF(D89="","จำนวน/ปี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",""))))))</f>
        <v/>
      </c>
    </row>
    <row r="90">
      <c r="A90" s="72" t="n"/>
      <c r="B90" s="73" t="n"/>
      <c r="C90" s="73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  <c r="N90" s="72" t="n"/>
      <c r="O90" s="72" t="n"/>
      <c r="P90" s="72" t="n"/>
      <c r="Q90" s="72" t="n"/>
      <c r="R90" s="69">
        <f>IF(COUNTA(G90:I90,M90)&lt;4,"",Settings!$C$5*(G90="Yes")+Settings!$C$6*(H90="Yes")+Settings!$C$7*(I90="Yes")+Settings!$C$8*(M90="No"))</f>
        <v/>
      </c>
      <c r="S90" s="69">
        <f>IF(R90="","",IF(R90&gt;=Settings!$C$13,"สูง",IF(R90&gt;=Settings!$C$12,"ปานกลาง","ต่ำ")))</f>
        <v/>
      </c>
      <c r="T90" s="70">
        <f>IF(OR(S90="",P90=""),"",IF(AND(S90="สูง",P90="ตัด D2"),"⚠ เสี่ยงสูงแต่เสนอตัด D2 — ควรทบทวน",IF(AND(S90="ต่ำ",P90="คง D2"),"ℹ เสี่ยงต่ำแต่เสนอคง D2 — อาจควบคุมเกินจำเป็น",IF(AND(P90="เปลี่ยนเป็นหน่วยงานผู้เชี่ยวชาญ",M90="No"),"⚠ เสนอโอน แต่ตอบว่ายังไม่มีผู้เชี่ยวชาญตรวจ",IF(AND(P90="เปลี่ยนเป็นหน่วยงานผู้เชี่ยวชาญ",Q90=""),"⚠ ยังไม่ระบุหน่วยงานผู้เชี่ยวชาญ","")))))</f>
        <v/>
      </c>
      <c r="U90" s="69">
        <f>IF(AND(P90="ตัด D2",ISNUMBER(D90),ISNUMBER(F90)),D90*F90,"")</f>
        <v/>
      </c>
      <c r="V90" s="73" t="n"/>
      <c r="W90" s="70">
        <f>IF(C90="","",IF(AND(ISNUMBER(D90),D90=0),"✔ ไม่เคยทำ (ข้าม)",IF(COUNTA(D90:P90)=0,"○ ยังไม่เริ่ม",IF(IF(D90="","จำนวน/ปี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","")="","✔ ครบ","⏳ ขาด: "&amp;TRIM(IF(D90="","จำนวน/ปี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",""))))))</f>
        <v/>
      </c>
    </row>
    <row r="91">
      <c r="A91" s="72" t="n"/>
      <c r="B91" s="73" t="n"/>
      <c r="C91" s="73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69">
        <f>IF(COUNTA(G91:I91,M91)&lt;4,"",Settings!$C$5*(G91="Yes")+Settings!$C$6*(H91="Yes")+Settings!$C$7*(I91="Yes")+Settings!$C$8*(M91="No"))</f>
        <v/>
      </c>
      <c r="S91" s="69">
        <f>IF(R91="","",IF(R91&gt;=Settings!$C$13,"สูง",IF(R91&gt;=Settings!$C$12,"ปานกลาง","ต่ำ")))</f>
        <v/>
      </c>
      <c r="T91" s="70">
        <f>IF(OR(S91="",P91=""),"",IF(AND(S91="สูง",P91="ตัด D2"),"⚠ เสี่ยงสูงแต่เสนอตัด D2 — ควรทบทวน",IF(AND(S91="ต่ำ",P91="คง D2"),"ℹ เสี่ยงต่ำแต่เสนอคง D2 — อาจควบคุมเกินจำเป็น",IF(AND(P91="เปลี่ยนเป็นหน่วยงานผู้เชี่ยวชาญ",M91="No"),"⚠ เสนอโอน แต่ตอบว่ายังไม่มีผู้เชี่ยวชาญตรวจ",IF(AND(P91="เปลี่ยนเป็นหน่วยงานผู้เชี่ยวชาญ",Q91=""),"⚠ ยังไม่ระบุหน่วยงานผู้เชี่ยวชาญ","")))))</f>
        <v/>
      </c>
      <c r="U91" s="69">
        <f>IF(AND(P91="ตัด D2",ISNUMBER(D91),ISNUMBER(F91)),D91*F91,"")</f>
        <v/>
      </c>
      <c r="V91" s="73" t="n"/>
      <c r="W91" s="70">
        <f>IF(C91="","",IF(AND(ISNUMBER(D91),D91=0),"✔ ไม่เคยทำ (ข้าม)",IF(COUNTA(D91:P91)=0,"○ ยังไม่เริ่ม",IF(IF(D91="","จำนวน/ปี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","")="","✔ ครบ","⏳ ขาด: "&amp;TRIM(IF(D91="","จำนวน/ปี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",""))))))</f>
        <v/>
      </c>
    </row>
  </sheetData>
  <mergeCells count="12">
    <mergeCell ref="P4:Q4"/>
    <mergeCell ref="C2:H2"/>
    <mergeCell ref="R4:U4"/>
    <mergeCell ref="W4"/>
    <mergeCell ref="V4"/>
    <mergeCell ref="D4:F4"/>
    <mergeCell ref="M4:O4"/>
    <mergeCell ref="A3:W3"/>
    <mergeCell ref="G4:L4"/>
    <mergeCell ref="A4:C4"/>
    <mergeCell ref="J2:P2"/>
    <mergeCell ref="A6:B6"/>
  </mergeCells>
  <conditionalFormatting sqref="S7:S91">
    <cfRule type="cellIs" priority="1" operator="equal" dxfId="5">
      <formula>"สูง"</formula>
    </cfRule>
    <cfRule type="cellIs" priority="2" operator="equal" dxfId="6">
      <formula>"ปานกลาง"</formula>
    </cfRule>
    <cfRule type="cellIs" priority="3" operator="equal" dxfId="7">
      <formula>"ต่ำ"</formula>
    </cfRule>
  </conditionalFormatting>
  <conditionalFormatting sqref="T7:T91">
    <cfRule type="expression" priority="4" dxfId="8">
      <formula>LEFT(T7,1)="⚠"</formula>
    </cfRule>
    <cfRule type="expression" priority="5" dxfId="9">
      <formula>LEFT(T7,1)="ℹ"</formula>
    </cfRule>
  </conditionalFormatting>
  <conditionalFormatting sqref="Q7:Q91">
    <cfRule type="expression" priority="6" dxfId="10">
      <formula>AND($P7="เปลี่ยนเป็นหน่วยงานผู้เชี่ยวชาญ",$Q7="")</formula>
    </cfRule>
    <cfRule type="expression" priority="7" dxfId="11">
      <formula>$P7&lt;&gt;"เปลี่ยนเป็นหน่วยงานผู้เชี่ยวชาญ"</formula>
    </cfRule>
  </conditionalFormatting>
  <conditionalFormatting sqref="A7:A91">
    <cfRule type="expression" priority="8" dxfId="12">
      <formula>LEFT($W7,1)="✔"</formula>
    </cfRule>
    <cfRule type="expression" priority="9" dxfId="3">
      <formula>LEFT($W7,1)="⏳"</formula>
    </cfRule>
  </conditionalFormatting>
  <conditionalFormatting sqref="W7:W91">
    <cfRule type="expression" priority="10" dxfId="13">
      <formula>LEFT($W7,1)="✔"</formula>
    </cfRule>
    <cfRule type="expression" priority="11" dxfId="14">
      <formula>LEFT($W7,1)="⏳"</formula>
    </cfRule>
  </conditionalFormatting>
  <conditionalFormatting sqref="D7:P91">
    <cfRule type="expression" priority="12" dxfId="0">
      <formula>AND($C7&lt;&gt;"",COUNTA($D7:$P7)&gt;0,D7="",NOT(AND(ISNUMBER($D7),$D7=0)))</formula>
    </cfRule>
  </conditionalFormatting>
  <conditionalFormatting sqref="A7:V91">
    <cfRule type="expression" priority="13" dxfId="15">
      <formula>AND($C7&lt;&gt;"",$D7=0,ISNUMBER($D7))</formula>
    </cfRule>
  </conditionalFormatting>
  <dataValidations count="14">
    <dataValidation sqref="D7:D91" showDropDown="0" showInputMessage="1" showErrorMessage="1" allowBlank="1" errorTitle="ตัวเลขเท่านั้น" error="กรุณากรอกตัวเลขตั้งแต่ 0 ขึ้นไป" promptTitle="จำนวนรายการต่อปี" prompt="จำนวนเรื่องที่เสนอขออนุมัติต่อปี&#10;ถ้างานท่านไม่เคยทำกระบวนการนี้ ใส่ 0" type="decimal" operator="greaterThanOrEqual">
      <formula1>0</formula1>
    </dataValidation>
    <dataValidation sqref="E7:E91" showDropDown="0" showInputMessage="1" showErrorMessage="1" allowBlank="1" errorTitle="ตัวเลขเท่านั้น" error="กรุณากรอกตัวเลขตั้งแต่ 0 ขึ้นไป" promptTitle="ระยะเวลาเฉลี่ย (วัน)" prompt="ตั้งแต่เริ่มเสนอเรื่องจนได้รับอนุมัติ ครบทุกขั้นตอน (วันทำการ)" type="decimal" operator="greaterThanOrEqual">
      <formula1>0</formula1>
    </dataValidation>
    <dataValidation sqref="F7:F91" showDropDown="0" showInputMessage="1" showErrorMessage="1" allowBlank="1" errorTitle="ตัวเลขเท่านั้น" error="กรุณากรอกตัวเลขตั้งแต่ 0 ขึ้นไป" promptTitle="ระยะเวลาที่ D2 ใช้ (วัน)" prompt="เรื่องค้างอยู่ที่เลขานุการคณะ (D2) โดยเฉลี่ยกี่วัน&#10;ใช้คำนวณวันที่ประหยัดได้ถ้าตัด D2" type="decimal" operator="greaterThanOrEqual">
      <formula1>0</formula1>
    </dataValidation>
    <dataValidation sqref="G7:G91" showDropDown="0" showInputMessage="1" showErrorMessage="1" allowBlank="1" errorTitle="เลือกจากรายการ" error="กรุณาเลือกค่าจาก Dropdown" promptTitle="ผลกระทบด้านงบประมาณ" prompt="กระบวนการนี้มีผลกระทบต่องบประมาณหรือไม่&#10;Yes = มี  /  No = ไม่มี" type="list">
      <formula1>=Settings!$E$5:$E$6</formula1>
    </dataValidation>
    <dataValidation sqref="H7:H91" showDropDown="0" showInputMessage="1" showErrorMessage="1" allowBlank="1" errorTitle="เลือกจากรายการ" error="กรุณาเลือกค่าจาก Dropdown" promptTitle="ผลกระทบด้านอัตรากำลัง" prompt="กระบวนการนี้มีผลกระทบต่ออัตรากำลังหรือไม่&#10;Yes = มี  /  No = ไม่มี" type="list">
      <formula1>=Settings!$E$5:$E$6</formula1>
    </dataValidation>
    <dataValidation sqref="I7:I91" showDropDown="0" showInputMessage="1" showErrorMessage="1" allowBlank="1" errorTitle="เลือกจากรายการ" error="กรุณาเลือกค่าจาก Dropdown" promptTitle="ผลกระทบด้านกฎหมาย/ระเบียบ" prompt="กระบวนการนี้มีผลกระทบต่อกฎหมาย/ระเบียบหรือไม่&#10;Yes = มี  /  No = ไม่มี" type="list">
      <formula1>=Settings!$E$5:$E$6</formula1>
    </dataValidation>
    <dataValidation sqref="J7:J91" showDropDown="0" showInputMessage="1" showErrorMessage="1" allowBlank="1" errorTitle="เลือกจากรายการ" error="กรุณาเลือกค่าจาก Dropdown" promptTitle="ผลกระทบด้านทรัพย์สิน/พัสดุ" prompt="กระบวนการนี้มีผลกระทบต่อทรัพย์สิน/พัสดุหรือไม่&#10;Yes = มี  /  No = ไม่มี" type="list">
      <formula1>=Settings!$E$5:$E$6</formula1>
    </dataValidation>
    <dataValidation sqref="K7:K91" showDropDown="0" showInputMessage="1" showErrorMessage="1" allowBlank="1" errorTitle="เลือกจากรายการ" error="กรุณาเลือกค่าจาก Dropdown" promptTitle="ผลกระทบด้านชื่อเสียงองค์กร" prompt="กระบวนการนี้มีผลกระทบต่อชื่อเสียงองค์กรหรือไม่&#10;Yes = มี  /  No = ไม่มี" type="list">
      <formula1>=Settings!$E$5:$E$6</formula1>
    </dataValidation>
    <dataValidation sqref="L7:L91" showDropDown="0" showInputMessage="1" showErrorMessage="1" allowBlank="1" errorTitle="เลือกจากรายการ" error="กรุณาเลือกค่าจาก Dropdown" promptTitle="ผลกระทบด้านนโยบายหรือยุทธศาสตร์คณะ" prompt="กระบวนการนี้มีผลกระทบต่อนโยบายหรือยุทธศาสตร์คณะหรือไม่&#10;Yes = มี  /  No = ไม่มี" type="list">
      <formula1>=Settings!$E$5:$E$6</formula1>
    </dataValidation>
    <dataValidation sqref="M7:M91" showDropDown="0" showInputMessage="1" showErrorMessage="1" allowBlank="1" errorTitle="เลือกจากรายการ" error="กรุณาเลือกค่าจาก Dropdown" promptTitle="มีผู้เชี่ยวชาญตรวจอยู่แล้วหรือไม่" prompt="มีหน่วยงานเฉพาะทาง (การเงิน พัสดุ บุคคล นิติการ ฯลฯ) ตรวจสอบกระบวนการนี้อยู่แล้วหรือไม่&#10;Yes = มี  /  No = ไม่มี" type="list">
      <formula1>=Settings!$E$5:$E$6</formula1>
    </dataValidation>
    <dataValidation sqref="N7:N91" showDropDown="0" showInputMessage="1" showErrorMessage="1" allowBlank="1" errorTitle="เลือกจากรายการ" error="กรุณาเลือกค่าจาก Dropdown" promptTitle="D2 เพิ่มคุณค่าระดับใด" prompt="เลขานุการคณะ (D2) ช่วยเพิ่มคุณค่าหรือควบคุมความเสี่ยงในกระบวนการนี้มากน้อยเพียงใด" type="list">
      <formula1>=Settings!$F$5:$F$8</formula1>
    </dataValidation>
    <dataValidation sqref="O7:O91" showDropDown="0" showInputMessage="1" showErrorMessage="1" allowBlank="1" errorTitle="เลือกจากรายการ" error="กรุณาเลือกค่าจาก Dropdown" promptTitle="D2 เคยตีกลับหรือไม่" prompt="D2 เคยตรวจพบข้อผิดพลาดและตีกลับเรื่องนี้บ่อยเพียงใด" type="list">
      <formula1>=Settings!$G$5:$G$8</formula1>
    </dataValidation>
    <dataValidation sqref="P7:P91" showDropDown="0" showInputMessage="1" showErrorMessage="1" allowBlank="1" errorTitle="เลือกจากรายการ" error="กรุณาเลือกค่าจาก Dropdown" promptTitle="ข้อเสนอของท่าน" prompt="คง D2 / ตัด D2 / เปลี่ยนเป็นหน่วยงานผู้เชี่ยวชาญ / ขอหารือเพิ่มเติม" type="list">
      <formula1>=Settings!$H$5:$H$8</formula1>
    </dataValidation>
    <dataValidation sqref="Q7:Q91" showDropDown="0" showInputMessage="1" showErrorMessage="1" allowBlank="1" errorTitle="เลือกจากรายการ" error="กรุณาเลือกค่าจาก Dropdown" promptTitle="หน่วยงานผู้เชี่ยวชาญ" prompt="เลือกเฉพาะเมื่อข้อเสนอคือ 'เปลี่ยนเป็นหน่วยงานผู้เชี่ยวชาญ'" type="list">
      <formula1>=Settings!$I$5:$I$11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9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5" customWidth="1" min="13" max="13"/>
    <col width="13" customWidth="1" min="14" max="14"/>
    <col width="15" customWidth="1" min="15" max="15"/>
    <col width="24" customWidth="1" min="16" max="16"/>
    <col width="20" customWidth="1" min="17" max="17"/>
    <col width="10" customWidth="1" min="18" max="18"/>
    <col width="11" customWidth="1" min="19" max="19"/>
    <col width="34" customWidth="1" min="20" max="20"/>
    <col width="17" customWidth="1" min="21" max="21"/>
    <col width="44" customWidth="1" min="22" max="22"/>
    <col width="34" customWidth="1" min="23" max="23"/>
  </cols>
  <sheetData>
    <row r="1">
      <c r="A1" s="50" t="inlineStr">
        <is>
          <t>แบบสำรวจการปรับปรุง Approval Matrix (Risk-Based Approval)</t>
        </is>
      </c>
    </row>
    <row r="2" ht="24" customHeight="1">
      <c r="A2" s="51" t="inlineStr">
        <is>
          <t>หน่วยงาน:</t>
        </is>
      </c>
      <c r="C2" s="52" t="inlineStr">
        <is>
          <t>งานยุทธศาสตร์และแผน</t>
        </is>
      </c>
      <c r="J2" s="53">
        <f>"กรอกครบแล้ว "&amp;COUNTIF(W7:W91,"✔*")&amp;" / "&amp;COUNTIF(C7:C91,"?*")&amp;" กระบวนการ  ("&amp;TEXT(COUNTIF(W7:W91,"✔*")/MAX(1,COUNTIF(C7:C91,"?*")),"0%")&amp;")"</f>
        <v/>
      </c>
    </row>
    <row r="3">
      <c r="A3" s="54" t="inlineStr">
        <is>
          <t>วิธีกรอก: ทำตามลำดับ ①→④ จากซ้ายไปขวา เฉพาะช่องสีเหลือง  |  คลิกช่องใดก็ได้เพื่อดูคำอธิบาย  |  ช่องลำดับ: 🟩 ครบ  🟧 ยังขาด (ดูช่อง 'สถานะการกรอก')  |  กระบวนการที่ไม่เคยทำ ใส่จำนวนรายการ = 0 ได้เลย</t>
        </is>
      </c>
    </row>
    <row r="4">
      <c r="A4" s="4" t="inlineStr">
        <is>
          <t>กระบวนการ</t>
        </is>
      </c>
      <c r="B4" s="55" t="n"/>
      <c r="C4" s="55" t="n"/>
      <c r="D4" s="56" t="inlineStr">
        <is>
          <t>① ข้อมูลพื้นฐาน</t>
        </is>
      </c>
      <c r="E4" s="57" t="n"/>
      <c r="F4" s="57" t="n"/>
      <c r="G4" s="58" t="inlineStr">
        <is>
          <t>② ผลกระทบ — กระบวนการนี้มีผลกระทบต่อ… (Yes/No)</t>
        </is>
      </c>
      <c r="H4" s="59" t="n"/>
      <c r="I4" s="59" t="n"/>
      <c r="J4" s="59" t="n"/>
      <c r="K4" s="59" t="n"/>
      <c r="L4" s="59" t="n"/>
      <c r="M4" s="60" t="inlineStr">
        <is>
          <t>③ การประเมินการควบคุม</t>
        </is>
      </c>
      <c r="N4" s="61" t="n"/>
      <c r="O4" s="61" t="n"/>
      <c r="P4" s="62" t="inlineStr">
        <is>
          <t>④ ข้อเสนอของหัวหน้างาน</t>
        </is>
      </c>
      <c r="Q4" s="63" t="n"/>
      <c r="R4" s="64" t="inlineStr">
        <is>
          <t>คำนวณอัตโนมัติ (ห้ามกรอก)</t>
        </is>
      </c>
      <c r="S4" s="65" t="n"/>
      <c r="T4" s="65" t="n"/>
      <c r="U4" s="65" t="n"/>
      <c r="V4" s="56" t="inlineStr">
        <is>
          <t>เพิ่มเติม (ถ้ามี)</t>
        </is>
      </c>
      <c r="W4" s="64" t="inlineStr">
        <is>
          <t>ตรวจสอบ</t>
        </is>
      </c>
    </row>
    <row r="5" ht="48" customHeight="1">
      <c r="A5" s="15" t="inlineStr">
        <is>
          <t>ลำดับ</t>
        </is>
      </c>
      <c r="B5" s="15" t="inlineStr">
        <is>
          <t>กลุ่มงาน</t>
        </is>
      </c>
      <c r="C5" s="15" t="inlineStr">
        <is>
          <t>ชื่อกระบวนการ</t>
        </is>
      </c>
      <c r="D5" s="15" t="inlineStr">
        <is>
          <t>จำนวนรายการ
ต่อปี</t>
        </is>
      </c>
      <c r="E5" s="15" t="inlineStr">
        <is>
          <t>ระยะเวลาดำเนินการ
เฉลี่ย (วัน)</t>
        </is>
      </c>
      <c r="F5" s="15" t="inlineStr">
        <is>
          <t>ระยะเวลาที่ D2
ใช้ (วัน)</t>
        </is>
      </c>
      <c r="G5" s="15" t="inlineStr">
        <is>
          <t>งบประมาณ</t>
        </is>
      </c>
      <c r="H5" s="15" t="inlineStr">
        <is>
          <t>อัตรากำลัง</t>
        </is>
      </c>
      <c r="I5" s="15" t="inlineStr">
        <is>
          <t>กฎหมาย/
ระเบียบ</t>
        </is>
      </c>
      <c r="J5" s="15" t="inlineStr">
        <is>
          <t>ทรัพย์สิน/
พัสดุ</t>
        </is>
      </c>
      <c r="K5" s="15" t="inlineStr">
        <is>
          <t>ชื่อเสียง
องค์กร</t>
        </is>
      </c>
      <c r="L5" s="15" t="inlineStr">
        <is>
          <t>นโยบาย/
ยุทธศาสตร์คณะ</t>
        </is>
      </c>
      <c r="M5" s="15" t="inlineStr">
        <is>
          <t>มีหน่วยงาน
ผู้เชี่ยวชาญตรวจ
อยู่แล้วหรือไม่</t>
        </is>
      </c>
      <c r="N5" s="15" t="inlineStr">
        <is>
          <t>D2 เพิ่มคุณค่า
ในระดับใด</t>
        </is>
      </c>
      <c r="O5" s="15" t="inlineStr">
        <is>
          <t>D2 เคยตรวจพบ
ข้อผิดพลาด (ตีกลับ)</t>
        </is>
      </c>
      <c r="P5" s="15" t="inlineStr">
        <is>
          <t>ข้อเสนอ
ของหัวหน้างาน</t>
        </is>
      </c>
      <c r="Q5" s="15" t="inlineStr">
        <is>
          <t>หน่วยงานผู้เชี่ยวชาญ
(กรณีเลือกเปลี่ยน)</t>
        </is>
      </c>
      <c r="R5" s="15" t="inlineStr">
        <is>
          <t>คะแนน
ความเสี่ยง</t>
        </is>
      </c>
      <c r="S5" s="15" t="inlineStr">
        <is>
          <t>ระดับ
ความเสี่ยง</t>
        </is>
      </c>
      <c r="T5" s="15" t="inlineStr">
        <is>
          <t>ธงเตือน</t>
        </is>
      </c>
      <c r="U5" s="15" t="inlineStr">
        <is>
          <t>วันทำการที่ประหยัดได้
ต่อปี (ถ้าตัด D2)</t>
        </is>
      </c>
      <c r="V5" s="15" t="inlineStr">
        <is>
          <t>ข้อเสนอแนะ / แนวทางปรับปรุง Workflow</t>
        </is>
      </c>
      <c r="W5" s="15" t="inlineStr">
        <is>
          <t>สถานะการกรอก</t>
        </is>
      </c>
    </row>
    <row r="6" ht="30" customHeight="1">
      <c r="A6" s="66" t="inlineStr">
        <is>
          <t>▶ คำใบ้</t>
        </is>
      </c>
      <c r="B6" s="67" t="n"/>
      <c r="C6" s="68" t="inlineStr">
        <is>
          <t>ชื่อกระบวนการ (แก้ไข/เพิ่มได้)</t>
        </is>
      </c>
      <c r="D6" s="68" t="inlineStr">
        <is>
          <t>ตัวเลข
เช่น 120</t>
        </is>
      </c>
      <c r="E6" s="68" t="inlineStr">
        <is>
          <t>ตัวเลข (วัน)
เช่น 7</t>
        </is>
      </c>
      <c r="F6" s="68" t="inlineStr">
        <is>
          <t>ตัวเลข (วัน)
เช่น 2</t>
        </is>
      </c>
      <c r="G6" s="68" t="inlineStr">
        <is>
          <t>Yes = มีผลกระทบ
No = ไม่มี</t>
        </is>
      </c>
      <c r="H6" s="68" t="inlineStr">
        <is>
          <t>Yes = มีผลกระทบ
No = ไม่มี</t>
        </is>
      </c>
      <c r="I6" s="68" t="inlineStr">
        <is>
          <t>Yes = มีผลกระทบ
No = ไม่มี</t>
        </is>
      </c>
      <c r="J6" s="68" t="inlineStr">
        <is>
          <t>Yes = มีผลกระทบ
No = ไม่มี</t>
        </is>
      </c>
      <c r="K6" s="68" t="inlineStr">
        <is>
          <t>Yes = มีผลกระทบ
No = ไม่มี</t>
        </is>
      </c>
      <c r="L6" s="68" t="inlineStr">
        <is>
          <t>Yes = มีผลกระทบ
No = ไม่มี</t>
        </is>
      </c>
      <c r="M6" s="68" t="inlineStr">
        <is>
          <t>Yes / No</t>
        </is>
      </c>
      <c r="N6" s="68" t="inlineStr">
        <is>
          <t>เลือกจากรายการ</t>
        </is>
      </c>
      <c r="O6" s="68" t="inlineStr">
        <is>
          <t>เลือกจากรายการ</t>
        </is>
      </c>
      <c r="P6" s="68" t="inlineStr">
        <is>
          <t>เลือกจากรายการ</t>
        </is>
      </c>
      <c r="Q6" s="68" t="inlineStr">
        <is>
          <t>เลือกเมื่อ 'เปลี่ยน…'</t>
        </is>
      </c>
      <c r="R6" s="68" t="inlineStr">
        <is>
          <t>อัตโนมัติ</t>
        </is>
      </c>
      <c r="S6" s="68" t="inlineStr">
        <is>
          <t>อัตโนมัติ</t>
        </is>
      </c>
      <c r="T6" s="68" t="inlineStr">
        <is>
          <t>อัตโนมัติ</t>
        </is>
      </c>
      <c r="U6" s="68" t="inlineStr">
        <is>
          <t>อัตโนมัติ</t>
        </is>
      </c>
      <c r="V6" s="68" t="inlineStr">
        <is>
          <t>พิมพ์ข้อความ (ถ้ามี)</t>
        </is>
      </c>
      <c r="W6" s="68" t="inlineStr">
        <is>
          <t>อัตโนมัติ</t>
        </is>
      </c>
    </row>
    <row r="7">
      <c r="A7" s="69" t="n">
        <v>1</v>
      </c>
      <c r="B7" s="70" t="inlineStr">
        <is>
          <t>การเงินและพัสดุ</t>
        </is>
      </c>
      <c r="C7" s="71" t="inlineStr">
        <is>
          <t>ขออนุมัติ เบิกจ่ายตามงบ</t>
        </is>
      </c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69">
        <f>IF(COUNTA(G7:I7,M7)&lt;4,"",Settings!$C$5*(G7="Yes")+Settings!$C$6*(H7="Yes")+Settings!$C$7*(I7="Yes")+Settings!$C$8*(M7="No"))</f>
        <v/>
      </c>
      <c r="S7" s="69">
        <f>IF(R7="","",IF(R7&gt;=Settings!$C$13,"สูง",IF(R7&gt;=Settings!$C$12,"ปานกลาง","ต่ำ")))</f>
        <v/>
      </c>
      <c r="T7" s="70">
        <f>IF(OR(S7="",P7=""),"",IF(AND(S7="สูง",P7="ตัด D2"),"⚠ เสี่ยงสูงแต่เสนอตัด D2 — ควรทบทวน",IF(AND(S7="ต่ำ",P7="คง D2"),"ℹ เสี่ยงต่ำแต่เสนอคง D2 — อาจควบคุมเกินจำเป็น",IF(AND(P7="เปลี่ยนเป็นหน่วยงานผู้เชี่ยวชาญ",M7="No"),"⚠ เสนอโอน แต่ตอบว่ายังไม่มีผู้เชี่ยวชาญตรวจ",IF(AND(P7="เปลี่ยนเป็นหน่วยงานผู้เชี่ยวชาญ",Q7=""),"⚠ ยังไม่ระบุหน่วยงานผู้เชี่ยวชาญ","")))))</f>
        <v/>
      </c>
      <c r="U7" s="69">
        <f>IF(AND(P7="ตัด D2",ISNUMBER(D7),ISNUMBER(F7)),D7*F7,"")</f>
        <v/>
      </c>
      <c r="V7" s="73" t="n"/>
      <c r="W7" s="70">
        <f>IF(C7="","",IF(AND(ISNUMBER(D7),D7=0),"✔ ไม่เคยทำ (ข้าม)",IF(COUNTA(D7:P7)=0,"○ ยังไม่เริ่ม",IF(IF(D7="","จำนวน/ปี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","")="","✔ ครบ","⏳ ขาด: "&amp;TRIM(IF(D7="","จำนวน/ปี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",""))))))</f>
        <v/>
      </c>
    </row>
    <row r="8">
      <c r="A8" s="69" t="n">
        <v>2</v>
      </c>
      <c r="B8" s="70" t="inlineStr">
        <is>
          <t>การเงินและพัสดุ</t>
        </is>
      </c>
      <c r="C8" s="71" t="inlineStr">
        <is>
          <t>ยืมเงินทดรองจ่าย</t>
        </is>
      </c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69">
        <f>IF(COUNTA(G8:I8,M8)&lt;4,"",Settings!$C$5*(G8="Yes")+Settings!$C$6*(H8="Yes")+Settings!$C$7*(I8="Yes")+Settings!$C$8*(M8="No"))</f>
        <v/>
      </c>
      <c r="S8" s="69">
        <f>IF(R8="","",IF(R8&gt;=Settings!$C$13,"สูง",IF(R8&gt;=Settings!$C$12,"ปานกลาง","ต่ำ")))</f>
        <v/>
      </c>
      <c r="T8" s="70">
        <f>IF(OR(S8="",P8=""),"",IF(AND(S8="สูง",P8="ตัด D2"),"⚠ เสี่ยงสูงแต่เสนอตัด D2 — ควรทบทวน",IF(AND(S8="ต่ำ",P8="คง D2"),"ℹ เสี่ยงต่ำแต่เสนอคง D2 — อาจควบคุมเกินจำเป็น",IF(AND(P8="เปลี่ยนเป็นหน่วยงานผู้เชี่ยวชาญ",M8="No"),"⚠ เสนอโอน แต่ตอบว่ายังไม่มีผู้เชี่ยวชาญตรวจ",IF(AND(P8="เปลี่ยนเป็นหน่วยงานผู้เชี่ยวชาญ",Q8=""),"⚠ ยังไม่ระบุหน่วยงานผู้เชี่ยวชาญ","")))))</f>
        <v/>
      </c>
      <c r="U8" s="69">
        <f>IF(AND(P8="ตัด D2",ISNUMBER(D8),ISNUMBER(F8)),D8*F8,"")</f>
        <v/>
      </c>
      <c r="V8" s="73" t="n"/>
      <c r="W8" s="70">
        <f>IF(C8="","",IF(AND(ISNUMBER(D8),D8=0),"✔ ไม่เคยทำ (ข้าม)",IF(COUNTA(D8:P8)=0,"○ ยังไม่เริ่ม",IF(IF(D8="","จำนวน/ปี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","")="","✔ ครบ","⏳ ขาด: "&amp;TRIM(IF(D8="","จำนวน/ปี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",""))))))</f>
        <v/>
      </c>
    </row>
    <row r="9">
      <c r="A9" s="69" t="n">
        <v>3</v>
      </c>
      <c r="B9" s="70" t="inlineStr">
        <is>
          <t>การเงินและพัสดุ</t>
        </is>
      </c>
      <c r="C9" s="71" t="inlineStr">
        <is>
          <t>ขอซื้อวัสดุสำนักงานตามแผน</t>
        </is>
      </c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69">
        <f>IF(COUNTA(G9:I9,M9)&lt;4,"",Settings!$C$5*(G9="Yes")+Settings!$C$6*(H9="Yes")+Settings!$C$7*(I9="Yes")+Settings!$C$8*(M9="No"))</f>
        <v/>
      </c>
      <c r="S9" s="69">
        <f>IF(R9="","",IF(R9&gt;=Settings!$C$13,"สูง",IF(R9&gt;=Settings!$C$12,"ปานกลาง","ต่ำ")))</f>
        <v/>
      </c>
      <c r="T9" s="70">
        <f>IF(OR(S9="",P9=""),"",IF(AND(S9="สูง",P9="ตัด D2"),"⚠ เสี่ยงสูงแต่เสนอตัด D2 — ควรทบทวน",IF(AND(S9="ต่ำ",P9="คง D2"),"ℹ เสี่ยงต่ำแต่เสนอคง D2 — อาจควบคุมเกินจำเป็น",IF(AND(P9="เปลี่ยนเป็นหน่วยงานผู้เชี่ยวชาญ",M9="No"),"⚠ เสนอโอน แต่ตอบว่ายังไม่มีผู้เชี่ยวชาญตรวจ",IF(AND(P9="เปลี่ยนเป็นหน่วยงานผู้เชี่ยวชาญ",Q9=""),"⚠ ยังไม่ระบุหน่วยงานผู้เชี่ยวชาญ","")))))</f>
        <v/>
      </c>
      <c r="U9" s="69">
        <f>IF(AND(P9="ตัด D2",ISNUMBER(D9),ISNUMBER(F9)),D9*F9,"")</f>
        <v/>
      </c>
      <c r="V9" s="73" t="n"/>
      <c r="W9" s="70">
        <f>IF(C9="","",IF(AND(ISNUMBER(D9),D9=0),"✔ ไม่เคยทำ (ข้าม)",IF(COUNTA(D9:P9)=0,"○ ยังไม่เริ่ม",IF(IF(D9="","จำนวน/ปี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","")="","✔ ครบ","⏳ ขาด: "&amp;TRIM(IF(D9="","จำนวน/ปี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",""))))))</f>
        <v/>
      </c>
    </row>
    <row r="10">
      <c r="A10" s="69" t="n">
        <v>4</v>
      </c>
      <c r="B10" s="70" t="inlineStr">
        <is>
          <t>การเงินและพัสดุ</t>
        </is>
      </c>
      <c r="C10" s="71" t="inlineStr">
        <is>
          <t>ขอซื้อวัสดุโครงการ</t>
        </is>
      </c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69">
        <f>IF(COUNTA(G10:I10,M10)&lt;4,"",Settings!$C$5*(G10="Yes")+Settings!$C$6*(H10="Yes")+Settings!$C$7*(I10="Yes")+Settings!$C$8*(M10="No"))</f>
        <v/>
      </c>
      <c r="S10" s="69">
        <f>IF(R10="","",IF(R10&gt;=Settings!$C$13,"สูง",IF(R10&gt;=Settings!$C$12,"ปานกลาง","ต่ำ")))</f>
        <v/>
      </c>
      <c r="T10" s="70">
        <f>IF(OR(S10="",P10=""),"",IF(AND(S10="สูง",P10="ตัด D2"),"⚠ เสี่ยงสูงแต่เสนอตัด D2 — ควรทบทวน",IF(AND(S10="ต่ำ",P10="คง D2"),"ℹ เสี่ยงต่ำแต่เสนอคง D2 — อาจควบคุมเกินจำเป็น",IF(AND(P10="เปลี่ยนเป็นหน่วยงานผู้เชี่ยวชาญ",M10="No"),"⚠ เสนอโอน แต่ตอบว่ายังไม่มีผู้เชี่ยวชาญตรวจ",IF(AND(P10="เปลี่ยนเป็นหน่วยงานผู้เชี่ยวชาญ",Q10=""),"⚠ ยังไม่ระบุหน่วยงานผู้เชี่ยวชาญ","")))))</f>
        <v/>
      </c>
      <c r="U10" s="69">
        <f>IF(AND(P10="ตัด D2",ISNUMBER(D10),ISNUMBER(F10)),D10*F10,"")</f>
        <v/>
      </c>
      <c r="V10" s="73" t="n"/>
      <c r="W10" s="70">
        <f>IF(C10="","",IF(AND(ISNUMBER(D10),D10=0),"✔ ไม่เคยทำ (ข้าม)",IF(COUNTA(D10:P10)=0,"○ ยังไม่เริ่ม",IF(IF(D10="","จำนวน/ปี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","")="","✔ ครบ","⏳ ขาด: "&amp;TRIM(IF(D10="","จำนวน/ปี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",""))))))</f>
        <v/>
      </c>
    </row>
    <row r="11">
      <c r="A11" s="69" t="n">
        <v>5</v>
      </c>
      <c r="B11" s="70" t="inlineStr">
        <is>
          <t>การเงินและพัสดุ</t>
        </is>
      </c>
      <c r="C11" s="71" t="inlineStr">
        <is>
          <t>ขอจ้างเหมาบริการทั่วไป</t>
        </is>
      </c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69">
        <f>IF(COUNTA(G11:I11,M11)&lt;4,"",Settings!$C$5*(G11="Yes")+Settings!$C$6*(H11="Yes")+Settings!$C$7*(I11="Yes")+Settings!$C$8*(M11="No"))</f>
        <v/>
      </c>
      <c r="S11" s="69">
        <f>IF(R11="","",IF(R11&gt;=Settings!$C$13,"สูง",IF(R11&gt;=Settings!$C$12,"ปานกลาง","ต่ำ")))</f>
        <v/>
      </c>
      <c r="T11" s="70">
        <f>IF(OR(S11="",P11=""),"",IF(AND(S11="สูง",P11="ตัด D2"),"⚠ เสี่ยงสูงแต่เสนอตัด D2 — ควรทบทวน",IF(AND(S11="ต่ำ",P11="คง D2"),"ℹ เสี่ยงต่ำแต่เสนอคง D2 — อาจควบคุมเกินจำเป็น",IF(AND(P11="เปลี่ยนเป็นหน่วยงานผู้เชี่ยวชาญ",M11="No"),"⚠ เสนอโอน แต่ตอบว่ายังไม่มีผู้เชี่ยวชาญตรวจ",IF(AND(P11="เปลี่ยนเป็นหน่วยงานผู้เชี่ยวชาญ",Q11=""),"⚠ ยังไม่ระบุหน่วยงานผู้เชี่ยวชาญ","")))))</f>
        <v/>
      </c>
      <c r="U11" s="69">
        <f>IF(AND(P11="ตัด D2",ISNUMBER(D11),ISNUMBER(F11)),D11*F11,"")</f>
        <v/>
      </c>
      <c r="V11" s="73" t="n"/>
      <c r="W11" s="70">
        <f>IF(C11="","",IF(AND(ISNUMBER(D11),D11=0),"✔ ไม่เคยทำ (ข้าม)",IF(COUNTA(D11:P11)=0,"○ ยังไม่เริ่ม",IF(IF(D11="","จำนวน/ปี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","")="","✔ ครบ","⏳ ขาด: "&amp;TRIM(IF(D11="","จำนวน/ปี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",""))))))</f>
        <v/>
      </c>
    </row>
    <row r="12">
      <c r="A12" s="69" t="n">
        <v>6</v>
      </c>
      <c r="B12" s="70" t="inlineStr">
        <is>
          <t>การเงินและพัสดุ</t>
        </is>
      </c>
      <c r="C12" s="71" t="inlineStr">
        <is>
          <t>จัดซื้อครุภัณฑ์ตามแผน</t>
        </is>
      </c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69">
        <f>IF(COUNTA(G12:I12,M12)&lt;4,"",Settings!$C$5*(G12="Yes")+Settings!$C$6*(H12="Yes")+Settings!$C$7*(I12="Yes")+Settings!$C$8*(M12="No"))</f>
        <v/>
      </c>
      <c r="S12" s="69">
        <f>IF(R12="","",IF(R12&gt;=Settings!$C$13,"สูง",IF(R12&gt;=Settings!$C$12,"ปานกลาง","ต่ำ")))</f>
        <v/>
      </c>
      <c r="T12" s="70">
        <f>IF(OR(S12="",P12=""),"",IF(AND(S12="สูง",P12="ตัด D2"),"⚠ เสี่ยงสูงแต่เสนอตัด D2 — ควรทบทวน",IF(AND(S12="ต่ำ",P12="คง D2"),"ℹ เสี่ยงต่ำแต่เสนอคง D2 — อาจควบคุมเกินจำเป็น",IF(AND(P12="เปลี่ยนเป็นหน่วยงานผู้เชี่ยวชาญ",M12="No"),"⚠ เสนอโอน แต่ตอบว่ายังไม่มีผู้เชี่ยวชาญตรวจ",IF(AND(P12="เปลี่ยนเป็นหน่วยงานผู้เชี่ยวชาญ",Q12=""),"⚠ ยังไม่ระบุหน่วยงานผู้เชี่ยวชาญ","")))))</f>
        <v/>
      </c>
      <c r="U12" s="69">
        <f>IF(AND(P12="ตัด D2",ISNUMBER(D12),ISNUMBER(F12)),D12*F12,"")</f>
        <v/>
      </c>
      <c r="V12" s="73" t="n"/>
      <c r="W12" s="70">
        <f>IF(C12="","",IF(AND(ISNUMBER(D12),D12=0),"✔ ไม่เคยทำ (ข้าม)",IF(COUNTA(D12:P12)=0,"○ ยังไม่เริ่ม",IF(IF(D12="","จำนวน/ปี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","")="","✔ ครบ","⏳ ขาด: "&amp;TRIM(IF(D12="","จำนวน/ปี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",""))))))</f>
        <v/>
      </c>
    </row>
    <row r="13">
      <c r="A13" s="69" t="n">
        <v>7</v>
      </c>
      <c r="B13" s="70" t="inlineStr">
        <is>
          <t>การเงินและพัสดุ</t>
        </is>
      </c>
      <c r="C13" s="71" t="inlineStr">
        <is>
          <t>จัดซื้อครุภัณฑ์นอกแผน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69">
        <f>IF(COUNTA(G13:I13,M13)&lt;4,"",Settings!$C$5*(G13="Yes")+Settings!$C$6*(H13="Yes")+Settings!$C$7*(I13="Yes")+Settings!$C$8*(M13="No"))</f>
        <v/>
      </c>
      <c r="S13" s="69">
        <f>IF(R13="","",IF(R13&gt;=Settings!$C$13,"สูง",IF(R13&gt;=Settings!$C$12,"ปานกลาง","ต่ำ")))</f>
        <v/>
      </c>
      <c r="T13" s="70">
        <f>IF(OR(S13="",P13=""),"",IF(AND(S13="สูง",P13="ตัด D2"),"⚠ เสี่ยงสูงแต่เสนอตัด D2 — ควรทบทวน",IF(AND(S13="ต่ำ",P13="คง D2"),"ℹ เสี่ยงต่ำแต่เสนอคง D2 — อาจควบคุมเกินจำเป็น",IF(AND(P13="เปลี่ยนเป็นหน่วยงานผู้เชี่ยวชาญ",M13="No"),"⚠ เสนอโอน แต่ตอบว่ายังไม่มีผู้เชี่ยวชาญตรวจ",IF(AND(P13="เปลี่ยนเป็นหน่วยงานผู้เชี่ยวชาญ",Q13=""),"⚠ ยังไม่ระบุหน่วยงานผู้เชี่ยวชาญ","")))))</f>
        <v/>
      </c>
      <c r="U13" s="69">
        <f>IF(AND(P13="ตัด D2",ISNUMBER(D13),ISNUMBER(F13)),D13*F13,"")</f>
        <v/>
      </c>
      <c r="V13" s="73" t="n"/>
      <c r="W13" s="70">
        <f>IF(C13="","",IF(AND(ISNUMBER(D13),D13=0),"✔ ไม่เคยทำ (ข้าม)",IF(COUNTA(D13:P13)=0,"○ ยังไม่เริ่ม",IF(IF(D13="","จำนวน/ปี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","")="","✔ ครบ","⏳ ขาด: "&amp;TRIM(IF(D13="","จำนวน/ปี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",""))))))</f>
        <v/>
      </c>
    </row>
    <row r="14">
      <c r="A14" s="69" t="n">
        <v>8</v>
      </c>
      <c r="B14" s="70" t="inlineStr">
        <is>
          <t>การเงินและพัสดุ</t>
        </is>
      </c>
      <c r="C14" s="71" t="inlineStr">
        <is>
          <t>ขออนุมัติ TOR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69">
        <f>IF(COUNTA(G14:I14,M14)&lt;4,"",Settings!$C$5*(G14="Yes")+Settings!$C$6*(H14="Yes")+Settings!$C$7*(I14="Yes")+Settings!$C$8*(M14="No"))</f>
        <v/>
      </c>
      <c r="S14" s="69">
        <f>IF(R14="","",IF(R14&gt;=Settings!$C$13,"สูง",IF(R14&gt;=Settings!$C$12,"ปานกลาง","ต่ำ")))</f>
        <v/>
      </c>
      <c r="T14" s="70">
        <f>IF(OR(S14="",P14=""),"",IF(AND(S14="สูง",P14="ตัด D2"),"⚠ เสี่ยงสูงแต่เสนอตัด D2 — ควรทบทวน",IF(AND(S14="ต่ำ",P14="คง D2"),"ℹ เสี่ยงต่ำแต่เสนอคง D2 — อาจควบคุมเกินจำเป็น",IF(AND(P14="เปลี่ยนเป็นหน่วยงานผู้เชี่ยวชาญ",M14="No"),"⚠ เสนอโอน แต่ตอบว่ายังไม่มีผู้เชี่ยวชาญตรวจ",IF(AND(P14="เปลี่ยนเป็นหน่วยงานผู้เชี่ยวชาญ",Q14=""),"⚠ ยังไม่ระบุหน่วยงานผู้เชี่ยวชาญ","")))))</f>
        <v/>
      </c>
      <c r="U14" s="69">
        <f>IF(AND(P14="ตัด D2",ISNUMBER(D14),ISNUMBER(F14)),D14*F14,"")</f>
        <v/>
      </c>
      <c r="V14" s="73" t="n"/>
      <c r="W14" s="70">
        <f>IF(C14="","",IF(AND(ISNUMBER(D14),D14=0),"✔ ไม่เคยทำ (ข้าม)",IF(COUNTA(D14:P14)=0,"○ ยังไม่เริ่ม",IF(IF(D14="","จำนวน/ปี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","")="","✔ ครบ","⏳ ขาด: "&amp;TRIM(IF(D14="","จำนวน/ปี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",""))))))</f>
        <v/>
      </c>
    </row>
    <row r="15">
      <c r="A15" s="69" t="n">
        <v>9</v>
      </c>
      <c r="B15" s="70" t="inlineStr">
        <is>
          <t>การเงินและพัสดุ</t>
        </is>
      </c>
      <c r="C15" s="71" t="inlineStr">
        <is>
          <t>ขออนุมัติราคากลาง</t>
        </is>
      </c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69">
        <f>IF(COUNTA(G15:I15,M15)&lt;4,"",Settings!$C$5*(G15="Yes")+Settings!$C$6*(H15="Yes")+Settings!$C$7*(I15="Yes")+Settings!$C$8*(M15="No"))</f>
        <v/>
      </c>
      <c r="S15" s="69">
        <f>IF(R15="","",IF(R15&gt;=Settings!$C$13,"สูง",IF(R15&gt;=Settings!$C$12,"ปานกลาง","ต่ำ")))</f>
        <v/>
      </c>
      <c r="T15" s="70">
        <f>IF(OR(S15="",P15=""),"",IF(AND(S15="สูง",P15="ตัด D2"),"⚠ เสี่ยงสูงแต่เสนอตัด D2 — ควรทบทวน",IF(AND(S15="ต่ำ",P15="คง D2"),"ℹ เสี่ยงต่ำแต่เสนอคง D2 — อาจควบคุมเกินจำเป็น",IF(AND(P15="เปลี่ยนเป็นหน่วยงานผู้เชี่ยวชาญ",M15="No"),"⚠ เสนอโอน แต่ตอบว่ายังไม่มีผู้เชี่ยวชาญตรวจ",IF(AND(P15="เปลี่ยนเป็นหน่วยงานผู้เชี่ยวชาญ",Q15=""),"⚠ ยังไม่ระบุหน่วยงานผู้เชี่ยวชาญ","")))))</f>
        <v/>
      </c>
      <c r="U15" s="69">
        <f>IF(AND(P15="ตัด D2",ISNUMBER(D15),ISNUMBER(F15)),D15*F15,"")</f>
        <v/>
      </c>
      <c r="V15" s="73" t="n"/>
      <c r="W15" s="70">
        <f>IF(C15="","",IF(AND(ISNUMBER(D15),D15=0),"✔ ไม่เคยทำ (ข้าม)",IF(COUNTA(D15:P15)=0,"○ ยังไม่เริ่ม",IF(IF(D15="","จำนวน/ปี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","")="","✔ ครบ","⏳ ขาด: "&amp;TRIM(IF(D15="","จำนวน/ปี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",""))))))</f>
        <v/>
      </c>
    </row>
    <row r="16">
      <c r="A16" s="69" t="n">
        <v>10</v>
      </c>
      <c r="B16" s="70" t="inlineStr">
        <is>
          <t>การเงินและพัสดุ</t>
        </is>
      </c>
      <c r="C16" s="71" t="inlineStr">
        <is>
          <t>แต่งตั้งคณะกรรมการจัดซื้อจัดจ้าง</t>
        </is>
      </c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69">
        <f>IF(COUNTA(G16:I16,M16)&lt;4,"",Settings!$C$5*(G16="Yes")+Settings!$C$6*(H16="Yes")+Settings!$C$7*(I16="Yes")+Settings!$C$8*(M16="No"))</f>
        <v/>
      </c>
      <c r="S16" s="69">
        <f>IF(R16="","",IF(R16&gt;=Settings!$C$13,"สูง",IF(R16&gt;=Settings!$C$12,"ปานกลาง","ต่ำ")))</f>
        <v/>
      </c>
      <c r="T16" s="70">
        <f>IF(OR(S16="",P16=""),"",IF(AND(S16="สูง",P16="ตัด D2"),"⚠ เสี่ยงสูงแต่เสนอตัด D2 — ควรทบทวน",IF(AND(S16="ต่ำ",P16="คง D2"),"ℹ เสี่ยงต่ำแต่เสนอคง D2 — อาจควบคุมเกินจำเป็น",IF(AND(P16="เปลี่ยนเป็นหน่วยงานผู้เชี่ยวชาญ",M16="No"),"⚠ เสนอโอน แต่ตอบว่ายังไม่มีผู้เชี่ยวชาญตรวจ",IF(AND(P16="เปลี่ยนเป็นหน่วยงานผู้เชี่ยวชาญ",Q16=""),"⚠ ยังไม่ระบุหน่วยงานผู้เชี่ยวชาญ","")))))</f>
        <v/>
      </c>
      <c r="U16" s="69">
        <f>IF(AND(P16="ตัด D2",ISNUMBER(D16),ISNUMBER(F16)),D16*F16,"")</f>
        <v/>
      </c>
      <c r="V16" s="73" t="n"/>
      <c r="W16" s="70">
        <f>IF(C16="","",IF(AND(ISNUMBER(D16),D16=0),"✔ ไม่เคยทำ (ข้าม)",IF(COUNTA(D16:P16)=0,"○ ยังไม่เริ่ม",IF(IF(D16="","จำนวน/ปี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","")="","✔ ครบ","⏳ ขาด: "&amp;TRIM(IF(D16="","จำนวน/ปี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",""))))))</f>
        <v/>
      </c>
    </row>
    <row r="17">
      <c r="A17" s="69" t="n">
        <v>11</v>
      </c>
      <c r="B17" s="70" t="inlineStr">
        <is>
          <t>การเงินและพัสดุ</t>
        </is>
      </c>
      <c r="C17" s="71" t="inlineStr">
        <is>
          <t>อนุมัติผลการจัดซื้อจัดจ้าง</t>
        </is>
      </c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69">
        <f>IF(COUNTA(G17:I17,M17)&lt;4,"",Settings!$C$5*(G17="Yes")+Settings!$C$6*(H17="Yes")+Settings!$C$7*(I17="Yes")+Settings!$C$8*(M17="No"))</f>
        <v/>
      </c>
      <c r="S17" s="69">
        <f>IF(R17="","",IF(R17&gt;=Settings!$C$13,"สูง",IF(R17&gt;=Settings!$C$12,"ปานกลาง","ต่ำ")))</f>
        <v/>
      </c>
      <c r="T17" s="70">
        <f>IF(OR(S17="",P17=""),"",IF(AND(S17="สูง",P17="ตัด D2"),"⚠ เสี่ยงสูงแต่เสนอตัด D2 — ควรทบทวน",IF(AND(S17="ต่ำ",P17="คง D2"),"ℹ เสี่ยงต่ำแต่เสนอคง D2 — อาจควบคุมเกินจำเป็น",IF(AND(P17="เปลี่ยนเป็นหน่วยงานผู้เชี่ยวชาญ",M17="No"),"⚠ เสนอโอน แต่ตอบว่ายังไม่มีผู้เชี่ยวชาญตรวจ",IF(AND(P17="เปลี่ยนเป็นหน่วยงานผู้เชี่ยวชาญ",Q17=""),"⚠ ยังไม่ระบุหน่วยงานผู้เชี่ยวชาญ","")))))</f>
        <v/>
      </c>
      <c r="U17" s="69">
        <f>IF(AND(P17="ตัด D2",ISNUMBER(D17),ISNUMBER(F17)),D17*F17,"")</f>
        <v/>
      </c>
      <c r="V17" s="73" t="n"/>
      <c r="W17" s="70">
        <f>IF(C17="","",IF(AND(ISNUMBER(D17),D17=0),"✔ ไม่เคยทำ (ข้าม)",IF(COUNTA(D17:P17)=0,"○ ยังไม่เริ่ม",IF(IF(D17="","จำนวน/ปี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","")="","✔ ครบ","⏳ ขาด: "&amp;TRIM(IF(D17="","จำนวน/ปี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",""))))))</f>
        <v/>
      </c>
    </row>
    <row r="18">
      <c r="A18" s="69" t="n">
        <v>12</v>
      </c>
      <c r="B18" s="70" t="inlineStr">
        <is>
          <t>การเงินและพัสดุ</t>
        </is>
      </c>
      <c r="C18" s="71" t="inlineStr">
        <is>
          <t>ขอขยายสัญญา</t>
        </is>
      </c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69">
        <f>IF(COUNTA(G18:I18,M18)&lt;4,"",Settings!$C$5*(G18="Yes")+Settings!$C$6*(H18="Yes")+Settings!$C$7*(I18="Yes")+Settings!$C$8*(M18="No"))</f>
        <v/>
      </c>
      <c r="S18" s="69">
        <f>IF(R18="","",IF(R18&gt;=Settings!$C$13,"สูง",IF(R18&gt;=Settings!$C$12,"ปานกลาง","ต่ำ")))</f>
        <v/>
      </c>
      <c r="T18" s="70">
        <f>IF(OR(S18="",P18=""),"",IF(AND(S18="สูง",P18="ตัด D2"),"⚠ เสี่ยงสูงแต่เสนอตัด D2 — ควรทบทวน",IF(AND(S18="ต่ำ",P18="คง D2"),"ℹ เสี่ยงต่ำแต่เสนอคง D2 — อาจควบคุมเกินจำเป็น",IF(AND(P18="เปลี่ยนเป็นหน่วยงานผู้เชี่ยวชาญ",M18="No"),"⚠ เสนอโอน แต่ตอบว่ายังไม่มีผู้เชี่ยวชาญตรวจ",IF(AND(P18="เปลี่ยนเป็นหน่วยงานผู้เชี่ยวชาญ",Q18=""),"⚠ ยังไม่ระบุหน่วยงานผู้เชี่ยวชาญ","")))))</f>
        <v/>
      </c>
      <c r="U18" s="69">
        <f>IF(AND(P18="ตัด D2",ISNUMBER(D18),ISNUMBER(F18)),D18*F18,"")</f>
        <v/>
      </c>
      <c r="V18" s="73" t="n"/>
      <c r="W18" s="70">
        <f>IF(C18="","",IF(AND(ISNUMBER(D18),D18=0),"✔ ไม่เคยทำ (ข้าม)",IF(COUNTA(D18:P18)=0,"○ ยังไม่เริ่ม",IF(IF(D18="","จำนวน/ปี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","")="","✔ ครบ","⏳ ขาด: "&amp;TRIM(IF(D18="","จำนวน/ปี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",""))))))</f>
        <v/>
      </c>
    </row>
    <row r="19">
      <c r="A19" s="69" t="n">
        <v>13</v>
      </c>
      <c r="B19" s="70" t="inlineStr">
        <is>
          <t>การเงินและพัสดุ</t>
        </is>
      </c>
      <c r="C19" s="71" t="inlineStr">
        <is>
          <t>ตรวจรับพัสดุ</t>
        </is>
      </c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69">
        <f>IF(COUNTA(G19:I19,M19)&lt;4,"",Settings!$C$5*(G19="Yes")+Settings!$C$6*(H19="Yes")+Settings!$C$7*(I19="Yes")+Settings!$C$8*(M19="No"))</f>
        <v/>
      </c>
      <c r="S19" s="69">
        <f>IF(R19="","",IF(R19&gt;=Settings!$C$13,"สูง",IF(R19&gt;=Settings!$C$12,"ปานกลาง","ต่ำ")))</f>
        <v/>
      </c>
      <c r="T19" s="70">
        <f>IF(OR(S19="",P19=""),"",IF(AND(S19="สูง",P19="ตัด D2"),"⚠ เสี่ยงสูงแต่เสนอตัด D2 — ควรทบทวน",IF(AND(S19="ต่ำ",P19="คง D2"),"ℹ เสี่ยงต่ำแต่เสนอคง D2 — อาจควบคุมเกินจำเป็น",IF(AND(P19="เปลี่ยนเป็นหน่วยงานผู้เชี่ยวชาญ",M19="No"),"⚠ เสนอโอน แต่ตอบว่ายังไม่มีผู้เชี่ยวชาญตรวจ",IF(AND(P19="เปลี่ยนเป็นหน่วยงานผู้เชี่ยวชาญ",Q19=""),"⚠ ยังไม่ระบุหน่วยงานผู้เชี่ยวชาญ","")))))</f>
        <v/>
      </c>
      <c r="U19" s="69">
        <f>IF(AND(P19="ตัด D2",ISNUMBER(D19),ISNUMBER(F19)),D19*F19,"")</f>
        <v/>
      </c>
      <c r="V19" s="73" t="n"/>
      <c r="W19" s="70">
        <f>IF(C19="","",IF(AND(ISNUMBER(D19),D19=0),"✔ ไม่เคยทำ (ข้าม)",IF(COUNTA(D19:P19)=0,"○ ยังไม่เริ่ม",IF(IF(D19="","จำนวน/ปี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","")="","✔ ครบ","⏳ ขาด: "&amp;TRIM(IF(D19="","จำนวน/ปี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",""))))))</f>
        <v/>
      </c>
    </row>
    <row r="20">
      <c r="A20" s="69" t="n">
        <v>14</v>
      </c>
      <c r="B20" s="70" t="inlineStr">
        <is>
          <t>การเงินและพัสดุ</t>
        </is>
      </c>
      <c r="C20" s="71" t="inlineStr">
        <is>
          <t>เบิกจ่ายหลังตรวจรับ</t>
        </is>
      </c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69">
        <f>IF(COUNTA(G20:I20,M20)&lt;4,"",Settings!$C$5*(G20="Yes")+Settings!$C$6*(H20="Yes")+Settings!$C$7*(I20="Yes")+Settings!$C$8*(M20="No"))</f>
        <v/>
      </c>
      <c r="S20" s="69">
        <f>IF(R20="","",IF(R20&gt;=Settings!$C$13,"สูง",IF(R20&gt;=Settings!$C$12,"ปานกลาง","ต่ำ")))</f>
        <v/>
      </c>
      <c r="T20" s="70">
        <f>IF(OR(S20="",P20=""),"",IF(AND(S20="สูง",P20="ตัด D2"),"⚠ เสี่ยงสูงแต่เสนอตัด D2 — ควรทบทวน",IF(AND(S20="ต่ำ",P20="คง D2"),"ℹ เสี่ยงต่ำแต่เสนอคง D2 — อาจควบคุมเกินจำเป็น",IF(AND(P20="เปลี่ยนเป็นหน่วยงานผู้เชี่ยวชาญ",M20="No"),"⚠ เสนอโอน แต่ตอบว่ายังไม่มีผู้เชี่ยวชาญตรวจ",IF(AND(P20="เปลี่ยนเป็นหน่วยงานผู้เชี่ยวชาญ",Q20=""),"⚠ ยังไม่ระบุหน่วยงานผู้เชี่ยวชาญ","")))))</f>
        <v/>
      </c>
      <c r="U20" s="69">
        <f>IF(AND(P20="ตัด D2",ISNUMBER(D20),ISNUMBER(F20)),D20*F20,"")</f>
        <v/>
      </c>
      <c r="V20" s="73" t="n"/>
      <c r="W20" s="70">
        <f>IF(C20="","",IF(AND(ISNUMBER(D20),D20=0),"✔ ไม่เคยทำ (ข้าม)",IF(COUNTA(D20:P20)=0,"○ ยังไม่เริ่ม",IF(IF(D20="","จำนวน/ปี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","")="","✔ ครบ","⏳ ขาด: "&amp;TRIM(IF(D20="","จำนวน/ปี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",""))))))</f>
        <v/>
      </c>
    </row>
    <row r="21">
      <c r="A21" s="69" t="n">
        <v>15</v>
      </c>
      <c r="B21" s="70" t="inlineStr">
        <is>
          <t>การเงินและพัสดุ</t>
        </is>
      </c>
      <c r="C21" s="71" t="inlineStr">
        <is>
          <t>จำหน่ายพัสดุ</t>
        </is>
      </c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69">
        <f>IF(COUNTA(G21:I21,M21)&lt;4,"",Settings!$C$5*(G21="Yes")+Settings!$C$6*(H21="Yes")+Settings!$C$7*(I21="Yes")+Settings!$C$8*(M21="No"))</f>
        <v/>
      </c>
      <c r="S21" s="69">
        <f>IF(R21="","",IF(R21&gt;=Settings!$C$13,"สูง",IF(R21&gt;=Settings!$C$12,"ปานกลาง","ต่ำ")))</f>
        <v/>
      </c>
      <c r="T21" s="70">
        <f>IF(OR(S21="",P21=""),"",IF(AND(S21="สูง",P21="ตัด D2"),"⚠ เสี่ยงสูงแต่เสนอตัด D2 — ควรทบทวน",IF(AND(S21="ต่ำ",P21="คง D2"),"ℹ เสี่ยงต่ำแต่เสนอคง D2 — อาจควบคุมเกินจำเป็น",IF(AND(P21="เปลี่ยนเป็นหน่วยงานผู้เชี่ยวชาญ",M21="No"),"⚠ เสนอโอน แต่ตอบว่ายังไม่มีผู้เชี่ยวชาญตรวจ",IF(AND(P21="เปลี่ยนเป็นหน่วยงานผู้เชี่ยวชาญ",Q21=""),"⚠ ยังไม่ระบุหน่วยงานผู้เชี่ยวชาญ","")))))</f>
        <v/>
      </c>
      <c r="U21" s="69">
        <f>IF(AND(P21="ตัด D2",ISNUMBER(D21),ISNUMBER(F21)),D21*F21,"")</f>
        <v/>
      </c>
      <c r="V21" s="73" t="n"/>
      <c r="W21" s="70">
        <f>IF(C21="","",IF(AND(ISNUMBER(D21),D21=0),"✔ ไม่เคยทำ (ข้าม)",IF(COUNTA(D21:P21)=0,"○ ยังไม่เริ่ม",IF(IF(D21="","จำนวน/ปี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","")="","✔ ครบ","⏳ ขาด: "&amp;TRIM(IF(D21="","จำนวน/ปี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",""))))))</f>
        <v/>
      </c>
    </row>
    <row r="22">
      <c r="A22" s="69" t="n">
        <v>16</v>
      </c>
      <c r="B22" s="70" t="inlineStr">
        <is>
          <t>การเงินและพัสดุ</t>
        </is>
      </c>
      <c r="C22" s="71" t="inlineStr">
        <is>
          <t>จัดซื้อครุภัณฑ์นอกแผนที่มีผลกระทบต่อแผนงบประมาณคณะ</t>
        </is>
      </c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69">
        <f>IF(COUNTA(G22:I22,M22)&lt;4,"",Settings!$C$5*(G22="Yes")+Settings!$C$6*(H22="Yes")+Settings!$C$7*(I22="Yes")+Settings!$C$8*(M22="No"))</f>
        <v/>
      </c>
      <c r="S22" s="69">
        <f>IF(R22="","",IF(R22&gt;=Settings!$C$13,"สูง",IF(R22&gt;=Settings!$C$12,"ปานกลาง","ต่ำ")))</f>
        <v/>
      </c>
      <c r="T22" s="70">
        <f>IF(OR(S22="",P22=""),"",IF(AND(S22="สูง",P22="ตัด D2"),"⚠ เสี่ยงสูงแต่เสนอตัด D2 — ควรทบทวน",IF(AND(S22="ต่ำ",P22="คง D2"),"ℹ เสี่ยงต่ำแต่เสนอคง D2 — อาจควบคุมเกินจำเป็น",IF(AND(P22="เปลี่ยนเป็นหน่วยงานผู้เชี่ยวชาญ",M22="No"),"⚠ เสนอโอน แต่ตอบว่ายังไม่มีผู้เชี่ยวชาญตรวจ",IF(AND(P22="เปลี่ยนเป็นหน่วยงานผู้เชี่ยวชาญ",Q22=""),"⚠ ยังไม่ระบุหน่วยงานผู้เชี่ยวชาญ","")))))</f>
        <v/>
      </c>
      <c r="U22" s="69">
        <f>IF(AND(P22="ตัด D2",ISNUMBER(D22),ISNUMBER(F22)),D22*F22,"")</f>
        <v/>
      </c>
      <c r="V22" s="73" t="n"/>
      <c r="W22" s="70">
        <f>IF(C22="","",IF(AND(ISNUMBER(D22),D22=0),"✔ ไม่เคยทำ (ข้าม)",IF(COUNTA(D22:P22)=0,"○ ยังไม่เริ่ม",IF(IF(D22="","จำนวน/ปี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","")="","✔ ครบ","⏳ ขาด: "&amp;TRIM(IF(D22="","จำนวน/ปี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",""))))))</f>
        <v/>
      </c>
    </row>
    <row r="23">
      <c r="A23" s="69" t="n">
        <v>17</v>
      </c>
      <c r="B23" s="70" t="inlineStr">
        <is>
          <t>การเงินและพัสดุ</t>
        </is>
      </c>
      <c r="C23" s="71" t="inlineStr">
        <is>
          <t>จัดซื้อที่มีวงเงินสูงผิดปกติ</t>
        </is>
      </c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69">
        <f>IF(COUNTA(G23:I23,M23)&lt;4,"",Settings!$C$5*(G23="Yes")+Settings!$C$6*(H23="Yes")+Settings!$C$7*(I23="Yes")+Settings!$C$8*(M23="No"))</f>
        <v/>
      </c>
      <c r="S23" s="69">
        <f>IF(R23="","",IF(R23&gt;=Settings!$C$13,"สูง",IF(R23&gt;=Settings!$C$12,"ปานกลาง","ต่ำ")))</f>
        <v/>
      </c>
      <c r="T23" s="70">
        <f>IF(OR(S23="",P23=""),"",IF(AND(S23="สูง",P23="ตัด D2"),"⚠ เสี่ยงสูงแต่เสนอตัด D2 — ควรทบทวน",IF(AND(S23="ต่ำ",P23="คง D2"),"ℹ เสี่ยงต่ำแต่เสนอคง D2 — อาจควบคุมเกินจำเป็น",IF(AND(P23="เปลี่ยนเป็นหน่วยงานผู้เชี่ยวชาญ",M23="No"),"⚠ เสนอโอน แต่ตอบว่ายังไม่มีผู้เชี่ยวชาญตรวจ",IF(AND(P23="เปลี่ยนเป็นหน่วยงานผู้เชี่ยวชาญ",Q23=""),"⚠ ยังไม่ระบุหน่วยงานผู้เชี่ยวชาญ","")))))</f>
        <v/>
      </c>
      <c r="U23" s="69">
        <f>IF(AND(P23="ตัด D2",ISNUMBER(D23),ISNUMBER(F23)),D23*F23,"")</f>
        <v/>
      </c>
      <c r="V23" s="73" t="n"/>
      <c r="W23" s="70">
        <f>IF(C23="","",IF(AND(ISNUMBER(D23),D23=0),"✔ ไม่เคยทำ (ข้าม)",IF(COUNTA(D23:P23)=0,"○ ยังไม่เริ่ม",IF(IF(D23="","จำนวน/ปี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","")="","✔ ครบ","⏳ ขาด: "&amp;TRIM(IF(D23="","จำนวน/ปี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",""))))))</f>
        <v/>
      </c>
    </row>
    <row r="24">
      <c r="A24" s="69" t="n">
        <v>18</v>
      </c>
      <c r="B24" s="70" t="inlineStr">
        <is>
          <t>การเงินและพัสดุ</t>
        </is>
      </c>
      <c r="C24" s="71" t="inlineStr">
        <is>
          <t>การก่อสร้างหรือปรับปรุงอาคาร</t>
        </is>
      </c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69">
        <f>IF(COUNTA(G24:I24,M24)&lt;4,"",Settings!$C$5*(G24="Yes")+Settings!$C$6*(H24="Yes")+Settings!$C$7*(I24="Yes")+Settings!$C$8*(M24="No"))</f>
        <v/>
      </c>
      <c r="S24" s="69">
        <f>IF(R24="","",IF(R24&gt;=Settings!$C$13,"สูง",IF(R24&gt;=Settings!$C$12,"ปานกลาง","ต่ำ")))</f>
        <v/>
      </c>
      <c r="T24" s="70">
        <f>IF(OR(S24="",P24=""),"",IF(AND(S24="สูง",P24="ตัด D2"),"⚠ เสี่ยงสูงแต่เสนอตัด D2 — ควรทบทวน",IF(AND(S24="ต่ำ",P24="คง D2"),"ℹ เสี่ยงต่ำแต่เสนอคง D2 — อาจควบคุมเกินจำเป็น",IF(AND(P24="เปลี่ยนเป็นหน่วยงานผู้เชี่ยวชาญ",M24="No"),"⚠ เสนอโอน แต่ตอบว่ายังไม่มีผู้เชี่ยวชาญตรวจ",IF(AND(P24="เปลี่ยนเป็นหน่วยงานผู้เชี่ยวชาญ",Q24=""),"⚠ ยังไม่ระบุหน่วยงานผู้เชี่ยวชาญ","")))))</f>
        <v/>
      </c>
      <c r="U24" s="69">
        <f>IF(AND(P24="ตัด D2",ISNUMBER(D24),ISNUMBER(F24)),D24*F24,"")</f>
        <v/>
      </c>
      <c r="V24" s="73" t="n"/>
      <c r="W24" s="70">
        <f>IF(C24="","",IF(AND(ISNUMBER(D24),D24=0),"✔ ไม่เคยทำ (ข้าม)",IF(COUNTA(D24:P24)=0,"○ ยังไม่เริ่ม",IF(IF(D24="","จำนวน/ปี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","")="","✔ ครบ","⏳ ขาด: "&amp;TRIM(IF(D24="","จำนวน/ปี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",""))))))</f>
        <v/>
      </c>
    </row>
    <row r="25">
      <c r="A25" s="69" t="n">
        <v>19</v>
      </c>
      <c r="B25" s="70" t="inlineStr">
        <is>
          <t>การเงินและพัสดุ</t>
        </is>
      </c>
      <c r="C25" s="71" t="inlineStr">
        <is>
          <t>การจัดซื้อที่มีข้อร้องเรียนหรือข้อทักท้วง</t>
        </is>
      </c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69">
        <f>IF(COUNTA(G25:I25,M25)&lt;4,"",Settings!$C$5*(G25="Yes")+Settings!$C$6*(H25="Yes")+Settings!$C$7*(I25="Yes")+Settings!$C$8*(M25="No"))</f>
        <v/>
      </c>
      <c r="S25" s="69">
        <f>IF(R25="","",IF(R25&gt;=Settings!$C$13,"สูง",IF(R25&gt;=Settings!$C$12,"ปานกลาง","ต่ำ")))</f>
        <v/>
      </c>
      <c r="T25" s="70">
        <f>IF(OR(S25="",P25=""),"",IF(AND(S25="สูง",P25="ตัด D2"),"⚠ เสี่ยงสูงแต่เสนอตัด D2 — ควรทบทวน",IF(AND(S25="ต่ำ",P25="คง D2"),"ℹ เสี่ยงต่ำแต่เสนอคง D2 — อาจควบคุมเกินจำเป็น",IF(AND(P25="เปลี่ยนเป็นหน่วยงานผู้เชี่ยวชาญ",M25="No"),"⚠ เสนอโอน แต่ตอบว่ายังไม่มีผู้เชี่ยวชาญตรวจ",IF(AND(P25="เปลี่ยนเป็นหน่วยงานผู้เชี่ยวชาญ",Q25=""),"⚠ ยังไม่ระบุหน่วยงานผู้เชี่ยวชาญ","")))))</f>
        <v/>
      </c>
      <c r="U25" s="69">
        <f>IF(AND(P25="ตัด D2",ISNUMBER(D25),ISNUMBER(F25)),D25*F25,"")</f>
        <v/>
      </c>
      <c r="V25" s="73" t="n"/>
      <c r="W25" s="70">
        <f>IF(C25="","",IF(AND(ISNUMBER(D25),D25=0),"✔ ไม่เคยทำ (ข้าม)",IF(COUNTA(D25:P25)=0,"○ ยังไม่เริ่ม",IF(IF(D25="","จำนวน/ปี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","")="","✔ ครบ","⏳ ขาด: "&amp;TRIM(IF(D25="","จำนวน/ปี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",""))))))</f>
        <v/>
      </c>
    </row>
    <row r="26">
      <c r="A26" s="69" t="n">
        <v>20</v>
      </c>
      <c r="B26" s="70" t="inlineStr">
        <is>
          <t>การเงินและพัสดุ</t>
        </is>
      </c>
      <c r="C26" s="71" t="inlineStr">
        <is>
          <t>การจัดซื้อจัดจ้างกรณียกเว้นหรือใช้ดุลยพินิจพิเศษ</t>
        </is>
      </c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69">
        <f>IF(COUNTA(G26:I26,M26)&lt;4,"",Settings!$C$5*(G26="Yes")+Settings!$C$6*(H26="Yes")+Settings!$C$7*(I26="Yes")+Settings!$C$8*(M26="No"))</f>
        <v/>
      </c>
      <c r="S26" s="69">
        <f>IF(R26="","",IF(R26&gt;=Settings!$C$13,"สูง",IF(R26&gt;=Settings!$C$12,"ปานกลาง","ต่ำ")))</f>
        <v/>
      </c>
      <c r="T26" s="70">
        <f>IF(OR(S26="",P26=""),"",IF(AND(S26="สูง",P26="ตัด D2"),"⚠ เสี่ยงสูงแต่เสนอตัด D2 — ควรทบทวน",IF(AND(S26="ต่ำ",P26="คง D2"),"ℹ เสี่ยงต่ำแต่เสนอคง D2 — อาจควบคุมเกินจำเป็น",IF(AND(P26="เปลี่ยนเป็นหน่วยงานผู้เชี่ยวชาญ",M26="No"),"⚠ เสนอโอน แต่ตอบว่ายังไม่มีผู้เชี่ยวชาญตรวจ",IF(AND(P26="เปลี่ยนเป็นหน่วยงานผู้เชี่ยวชาญ",Q26=""),"⚠ ยังไม่ระบุหน่วยงานผู้เชี่ยวชาญ","")))))</f>
        <v/>
      </c>
      <c r="U26" s="69">
        <f>IF(AND(P26="ตัด D2",ISNUMBER(D26),ISNUMBER(F26)),D26*F26,"")</f>
        <v/>
      </c>
      <c r="V26" s="73" t="n"/>
      <c r="W26" s="70">
        <f>IF(C26="","",IF(AND(ISNUMBER(D26),D26=0),"✔ ไม่เคยทำ (ข้าม)",IF(COUNTA(D26:P26)=0,"○ ยังไม่เริ่ม",IF(IF(D26="","จำนวน/ปี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","")="","✔ ครบ","⏳ ขาด: "&amp;TRIM(IF(D26="","จำนวน/ปี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",""))))))</f>
        <v/>
      </c>
    </row>
    <row r="27">
      <c r="A27" s="69" t="n">
        <v>21</v>
      </c>
      <c r="B27" s="70" t="inlineStr">
        <is>
          <t>โครงการและกิจกรรม</t>
        </is>
      </c>
      <c r="C27" s="71" t="inlineStr">
        <is>
          <t>โครงการตามแผนปฏิบัติการ</t>
        </is>
      </c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69">
        <f>IF(COUNTA(G27:I27,M27)&lt;4,"",Settings!$C$5*(G27="Yes")+Settings!$C$6*(H27="Yes")+Settings!$C$7*(I27="Yes")+Settings!$C$8*(M27="No"))</f>
        <v/>
      </c>
      <c r="S27" s="69">
        <f>IF(R27="","",IF(R27&gt;=Settings!$C$13,"สูง",IF(R27&gt;=Settings!$C$12,"ปานกลาง","ต่ำ")))</f>
        <v/>
      </c>
      <c r="T27" s="70">
        <f>IF(OR(S27="",P27=""),"",IF(AND(S27="สูง",P27="ตัด D2"),"⚠ เสี่ยงสูงแต่เสนอตัด D2 — ควรทบทวน",IF(AND(S27="ต่ำ",P27="คง D2"),"ℹ เสี่ยงต่ำแต่เสนอคง D2 — อาจควบคุมเกินจำเป็น",IF(AND(P27="เปลี่ยนเป็นหน่วยงานผู้เชี่ยวชาญ",M27="No"),"⚠ เสนอโอน แต่ตอบว่ายังไม่มีผู้เชี่ยวชาญตรวจ",IF(AND(P27="เปลี่ยนเป็นหน่วยงานผู้เชี่ยวชาญ",Q27=""),"⚠ ยังไม่ระบุหน่วยงานผู้เชี่ยวชาญ","")))))</f>
        <v/>
      </c>
      <c r="U27" s="69">
        <f>IF(AND(P27="ตัด D2",ISNUMBER(D27),ISNUMBER(F27)),D27*F27,"")</f>
        <v/>
      </c>
      <c r="V27" s="73" t="n"/>
      <c r="W27" s="70">
        <f>IF(C27="","",IF(AND(ISNUMBER(D27),D27=0),"✔ ไม่เคยทำ (ข้าม)",IF(COUNTA(D27:P27)=0,"○ ยังไม่เริ่ม",IF(IF(D27="","จำนวน/ปี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","")="","✔ ครบ","⏳ ขาด: "&amp;TRIM(IF(D27="","จำนวน/ปี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",""))))))</f>
        <v/>
      </c>
    </row>
    <row r="28">
      <c r="A28" s="69" t="n">
        <v>22</v>
      </c>
      <c r="B28" s="70" t="inlineStr">
        <is>
          <t>โครงการและกิจกรรม</t>
        </is>
      </c>
      <c r="C28" s="71" t="inlineStr">
        <is>
          <t>เปลี่ยนแปลงกำหนดการกิจกรรม/รายการงบประมาณในโครงการ (ที่ได้รับอนุมัติแล้ว)</t>
        </is>
      </c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69">
        <f>IF(COUNTA(G28:I28,M28)&lt;4,"",Settings!$C$5*(G28="Yes")+Settings!$C$6*(H28="Yes")+Settings!$C$7*(I28="Yes")+Settings!$C$8*(M28="No"))</f>
        <v/>
      </c>
      <c r="S28" s="69">
        <f>IF(R28="","",IF(R28&gt;=Settings!$C$13,"สูง",IF(R28&gt;=Settings!$C$12,"ปานกลาง","ต่ำ")))</f>
        <v/>
      </c>
      <c r="T28" s="70">
        <f>IF(OR(S28="",P28=""),"",IF(AND(S28="สูง",P28="ตัด D2"),"⚠ เสี่ยงสูงแต่เสนอตัด D2 — ควรทบทวน",IF(AND(S28="ต่ำ",P28="คง D2"),"ℹ เสี่ยงต่ำแต่เสนอคง D2 — อาจควบคุมเกินจำเป็น",IF(AND(P28="เปลี่ยนเป็นหน่วยงานผู้เชี่ยวชาญ",M28="No"),"⚠ เสนอโอน แต่ตอบว่ายังไม่มีผู้เชี่ยวชาญตรวจ",IF(AND(P28="เปลี่ยนเป็นหน่วยงานผู้เชี่ยวชาญ",Q28=""),"⚠ ยังไม่ระบุหน่วยงานผู้เชี่ยวชาญ","")))))</f>
        <v/>
      </c>
      <c r="U28" s="69">
        <f>IF(AND(P28="ตัด D2",ISNUMBER(D28),ISNUMBER(F28)),D28*F28,"")</f>
        <v/>
      </c>
      <c r="V28" s="73" t="n"/>
      <c r="W28" s="70">
        <f>IF(C28="","",IF(AND(ISNUMBER(D28),D28=0),"✔ ไม่เคยทำ (ข้าม)",IF(COUNTA(D28:P28)=0,"○ ยังไม่เริ่ม",IF(IF(D28="","จำนวน/ปี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","")="","✔ ครบ","⏳ ขาด: "&amp;TRIM(IF(D28="","จำนวน/ปี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",""))))))</f>
        <v/>
      </c>
    </row>
    <row r="29">
      <c r="A29" s="69" t="n">
        <v>23</v>
      </c>
      <c r="B29" s="70" t="inlineStr">
        <is>
          <t>โครงการและกิจกรรม</t>
        </is>
      </c>
      <c r="C29" s="71" t="inlineStr">
        <is>
          <t>รายงานผลโครงการ</t>
        </is>
      </c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69">
        <f>IF(COUNTA(G29:I29,M29)&lt;4,"",Settings!$C$5*(G29="Yes")+Settings!$C$6*(H29="Yes")+Settings!$C$7*(I29="Yes")+Settings!$C$8*(M29="No"))</f>
        <v/>
      </c>
      <c r="S29" s="69">
        <f>IF(R29="","",IF(R29&gt;=Settings!$C$13,"สูง",IF(R29&gt;=Settings!$C$12,"ปานกลาง","ต่ำ")))</f>
        <v/>
      </c>
      <c r="T29" s="70">
        <f>IF(OR(S29="",P29=""),"",IF(AND(S29="สูง",P29="ตัด D2"),"⚠ เสี่ยงสูงแต่เสนอตัด D2 — ควรทบทวน",IF(AND(S29="ต่ำ",P29="คง D2"),"ℹ เสี่ยงต่ำแต่เสนอคง D2 — อาจควบคุมเกินจำเป็น",IF(AND(P29="เปลี่ยนเป็นหน่วยงานผู้เชี่ยวชาญ",M29="No"),"⚠ เสนอโอน แต่ตอบว่ายังไม่มีผู้เชี่ยวชาญตรวจ",IF(AND(P29="เปลี่ยนเป็นหน่วยงานผู้เชี่ยวชาญ",Q29=""),"⚠ ยังไม่ระบุหน่วยงานผู้เชี่ยวชาญ","")))))</f>
        <v/>
      </c>
      <c r="U29" s="69">
        <f>IF(AND(P29="ตัด D2",ISNUMBER(D29),ISNUMBER(F29)),D29*F29,"")</f>
        <v/>
      </c>
      <c r="V29" s="73" t="n"/>
      <c r="W29" s="70">
        <f>IF(C29="","",IF(AND(ISNUMBER(D29),D29=0),"✔ ไม่เคยทำ (ข้าม)",IF(COUNTA(D29:P29)=0,"○ ยังไม่เริ่ม",IF(IF(D29="","จำนวน/ปี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","")="","✔ ครบ","⏳ ขาด: "&amp;TRIM(IF(D29="","จำนวน/ปี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",""))))))</f>
        <v/>
      </c>
    </row>
    <row r="30">
      <c r="A30" s="69" t="n">
        <v>24</v>
      </c>
      <c r="B30" s="70" t="inlineStr">
        <is>
          <t>โครงการและกิจกรรม</t>
        </is>
      </c>
      <c r="C30" s="71" t="inlineStr">
        <is>
          <t>โครงการนอกแผน</t>
        </is>
      </c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69">
        <f>IF(COUNTA(G30:I30,M30)&lt;4,"",Settings!$C$5*(G30="Yes")+Settings!$C$6*(H30="Yes")+Settings!$C$7*(I30="Yes")+Settings!$C$8*(M30="No"))</f>
        <v/>
      </c>
      <c r="S30" s="69">
        <f>IF(R30="","",IF(R30&gt;=Settings!$C$13,"สูง",IF(R30&gt;=Settings!$C$12,"ปานกลาง","ต่ำ")))</f>
        <v/>
      </c>
      <c r="T30" s="70">
        <f>IF(OR(S30="",P30=""),"",IF(AND(S30="สูง",P30="ตัด D2"),"⚠ เสี่ยงสูงแต่เสนอตัด D2 — ควรทบทวน",IF(AND(S30="ต่ำ",P30="คง D2"),"ℹ เสี่ยงต่ำแต่เสนอคง D2 — อาจควบคุมเกินจำเป็น",IF(AND(P30="เปลี่ยนเป็นหน่วยงานผู้เชี่ยวชาญ",M30="No"),"⚠ เสนอโอน แต่ตอบว่ายังไม่มีผู้เชี่ยวชาญตรวจ",IF(AND(P30="เปลี่ยนเป็นหน่วยงานผู้เชี่ยวชาญ",Q30=""),"⚠ ยังไม่ระบุหน่วยงานผู้เชี่ยวชาญ","")))))</f>
        <v/>
      </c>
      <c r="U30" s="69">
        <f>IF(AND(P30="ตัด D2",ISNUMBER(D30),ISNUMBER(F30)),D30*F30,"")</f>
        <v/>
      </c>
      <c r="V30" s="73" t="n"/>
      <c r="W30" s="70">
        <f>IF(C30="","",IF(AND(ISNUMBER(D30),D30=0),"✔ ไม่เคยทำ (ข้าม)",IF(COUNTA(D30:P30)=0,"○ ยังไม่เริ่ม",IF(IF(D30="","จำนวน/ปี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","")="","✔ ครบ","⏳ ขาด: "&amp;TRIM(IF(D30="","จำนวน/ปี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",""))))))</f>
        <v/>
      </c>
    </row>
    <row r="31">
      <c r="A31" s="69" t="n">
        <v>25</v>
      </c>
      <c r="B31" s="70" t="inlineStr">
        <is>
          <t>HR: บริหารเวลาปฏิบัติงาน (บุคลากรสายสนับสนุน)</t>
        </is>
      </c>
      <c r="C31" s="71" t="inlineStr">
        <is>
          <t>ลาพักผ่อน</t>
        </is>
      </c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69">
        <f>IF(COUNTA(G31:I31,M31)&lt;4,"",Settings!$C$5*(G31="Yes")+Settings!$C$6*(H31="Yes")+Settings!$C$7*(I31="Yes")+Settings!$C$8*(M31="No"))</f>
        <v/>
      </c>
      <c r="S31" s="69">
        <f>IF(R31="","",IF(R31&gt;=Settings!$C$13,"สูง",IF(R31&gt;=Settings!$C$12,"ปานกลาง","ต่ำ")))</f>
        <v/>
      </c>
      <c r="T31" s="70">
        <f>IF(OR(S31="",P31=""),"",IF(AND(S31="สูง",P31="ตัด D2"),"⚠ เสี่ยงสูงแต่เสนอตัด D2 — ควรทบทวน",IF(AND(S31="ต่ำ",P31="คง D2"),"ℹ เสี่ยงต่ำแต่เสนอคง D2 — อาจควบคุมเกินจำเป็น",IF(AND(P31="เปลี่ยนเป็นหน่วยงานผู้เชี่ยวชาญ",M31="No"),"⚠ เสนอโอน แต่ตอบว่ายังไม่มีผู้เชี่ยวชาญตรวจ",IF(AND(P31="เปลี่ยนเป็นหน่วยงานผู้เชี่ยวชาญ",Q31=""),"⚠ ยังไม่ระบุหน่วยงานผู้เชี่ยวชาญ","")))))</f>
        <v/>
      </c>
      <c r="U31" s="69">
        <f>IF(AND(P31="ตัด D2",ISNUMBER(D31),ISNUMBER(F31)),D31*F31,"")</f>
        <v/>
      </c>
      <c r="V31" s="73" t="n"/>
      <c r="W31" s="70">
        <f>IF(C31="","",IF(AND(ISNUMBER(D31),D31=0),"✔ ไม่เคยทำ (ข้าม)",IF(COUNTA(D31:P31)=0,"○ ยังไม่เริ่ม",IF(IF(D31="","จำนวน/ปี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","")="","✔ ครบ","⏳ ขาด: "&amp;TRIM(IF(D31="","จำนวน/ปี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",""))))))</f>
        <v/>
      </c>
    </row>
    <row r="32">
      <c r="A32" s="69" t="n">
        <v>26</v>
      </c>
      <c r="B32" s="70" t="inlineStr">
        <is>
          <t>HR: บริหารเวลาปฏิบัติงาน (บุคลากรสายสนับสนุน)</t>
        </is>
      </c>
      <c r="C32" s="71" t="inlineStr">
        <is>
          <t>ลาป่วย</t>
        </is>
      </c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69">
        <f>IF(COUNTA(G32:I32,M32)&lt;4,"",Settings!$C$5*(G32="Yes")+Settings!$C$6*(H32="Yes")+Settings!$C$7*(I32="Yes")+Settings!$C$8*(M32="No"))</f>
        <v/>
      </c>
      <c r="S32" s="69">
        <f>IF(R32="","",IF(R32&gt;=Settings!$C$13,"สูง",IF(R32&gt;=Settings!$C$12,"ปานกลาง","ต่ำ")))</f>
        <v/>
      </c>
      <c r="T32" s="70">
        <f>IF(OR(S32="",P32=""),"",IF(AND(S32="สูง",P32="ตัด D2"),"⚠ เสี่ยงสูงแต่เสนอตัด D2 — ควรทบทวน",IF(AND(S32="ต่ำ",P32="คง D2"),"ℹ เสี่ยงต่ำแต่เสนอคง D2 — อาจควบคุมเกินจำเป็น",IF(AND(P32="เปลี่ยนเป็นหน่วยงานผู้เชี่ยวชาญ",M32="No"),"⚠ เสนอโอน แต่ตอบว่ายังไม่มีผู้เชี่ยวชาญตรวจ",IF(AND(P32="เปลี่ยนเป็นหน่วยงานผู้เชี่ยวชาญ",Q32=""),"⚠ ยังไม่ระบุหน่วยงานผู้เชี่ยวชาญ","")))))</f>
        <v/>
      </c>
      <c r="U32" s="69">
        <f>IF(AND(P32="ตัด D2",ISNUMBER(D32),ISNUMBER(F32)),D32*F32,"")</f>
        <v/>
      </c>
      <c r="V32" s="73" t="n"/>
      <c r="W32" s="70">
        <f>IF(C32="","",IF(AND(ISNUMBER(D32),D32=0),"✔ ไม่เคยทำ (ข้าม)",IF(COUNTA(D32:P32)=0,"○ ยังไม่เริ่ม",IF(IF(D32="","จำนวน/ปี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","")="","✔ ครบ","⏳ ขาด: "&amp;TRIM(IF(D32="","จำนวน/ปี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",""))))))</f>
        <v/>
      </c>
    </row>
    <row r="33">
      <c r="A33" s="69" t="n">
        <v>27</v>
      </c>
      <c r="B33" s="70" t="inlineStr">
        <is>
          <t>HR: บริหารเวลาปฏิบัติงาน (บุคลากรสายสนับสนุน)</t>
        </is>
      </c>
      <c r="C33" s="71" t="inlineStr">
        <is>
          <t>ลากิจ</t>
        </is>
      </c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69">
        <f>IF(COUNTA(G33:I33,M33)&lt;4,"",Settings!$C$5*(G33="Yes")+Settings!$C$6*(H33="Yes")+Settings!$C$7*(I33="Yes")+Settings!$C$8*(M33="No"))</f>
        <v/>
      </c>
      <c r="S33" s="69">
        <f>IF(R33="","",IF(R33&gt;=Settings!$C$13,"สูง",IF(R33&gt;=Settings!$C$12,"ปานกลาง","ต่ำ")))</f>
        <v/>
      </c>
      <c r="T33" s="70">
        <f>IF(OR(S33="",P33=""),"",IF(AND(S33="สูง",P33="ตัด D2"),"⚠ เสี่ยงสูงแต่เสนอตัด D2 — ควรทบทวน",IF(AND(S33="ต่ำ",P33="คง D2"),"ℹ เสี่ยงต่ำแต่เสนอคง D2 — อาจควบคุมเกินจำเป็น",IF(AND(P33="เปลี่ยนเป็นหน่วยงานผู้เชี่ยวชาญ",M33="No"),"⚠ เสนอโอน แต่ตอบว่ายังไม่มีผู้เชี่ยวชาญตรวจ",IF(AND(P33="เปลี่ยนเป็นหน่วยงานผู้เชี่ยวชาญ",Q33=""),"⚠ ยังไม่ระบุหน่วยงานผู้เชี่ยวชาญ","")))))</f>
        <v/>
      </c>
      <c r="U33" s="69">
        <f>IF(AND(P33="ตัด D2",ISNUMBER(D33),ISNUMBER(F33)),D33*F33,"")</f>
        <v/>
      </c>
      <c r="V33" s="73" t="n"/>
      <c r="W33" s="70">
        <f>IF(C33="","",IF(AND(ISNUMBER(D33),D33=0),"✔ ไม่เคยทำ (ข้าม)",IF(COUNTA(D33:P33)=0,"○ ยังไม่เริ่ม",IF(IF(D33="","จำนวน/ปี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","")="","✔ ครบ","⏳ ขาด: "&amp;TRIM(IF(D33="","จำนวน/ปี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",""))))))</f>
        <v/>
      </c>
    </row>
    <row r="34">
      <c r="A34" s="69" t="n">
        <v>28</v>
      </c>
      <c r="B34" s="70" t="inlineStr">
        <is>
          <t>HR: บริหารเวลาปฏิบัติงาน (บุคลากรสายสนับสนุน)</t>
        </is>
      </c>
      <c r="C34" s="71" t="inlineStr">
        <is>
          <t>ลาคลอด</t>
        </is>
      </c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69">
        <f>IF(COUNTA(G34:I34,M34)&lt;4,"",Settings!$C$5*(G34="Yes")+Settings!$C$6*(H34="Yes")+Settings!$C$7*(I34="Yes")+Settings!$C$8*(M34="No"))</f>
        <v/>
      </c>
      <c r="S34" s="69">
        <f>IF(R34="","",IF(R34&gt;=Settings!$C$13,"สูง",IF(R34&gt;=Settings!$C$12,"ปานกลาง","ต่ำ")))</f>
        <v/>
      </c>
      <c r="T34" s="70">
        <f>IF(OR(S34="",P34=""),"",IF(AND(S34="สูง",P34="ตัด D2"),"⚠ เสี่ยงสูงแต่เสนอตัด D2 — ควรทบทวน",IF(AND(S34="ต่ำ",P34="คง D2"),"ℹ เสี่ยงต่ำแต่เสนอคง D2 — อาจควบคุมเกินจำเป็น",IF(AND(P34="เปลี่ยนเป็นหน่วยงานผู้เชี่ยวชาญ",M34="No"),"⚠ เสนอโอน แต่ตอบว่ายังไม่มีผู้เชี่ยวชาญตรวจ",IF(AND(P34="เปลี่ยนเป็นหน่วยงานผู้เชี่ยวชาญ",Q34=""),"⚠ ยังไม่ระบุหน่วยงานผู้เชี่ยวชาญ","")))))</f>
        <v/>
      </c>
      <c r="U34" s="69">
        <f>IF(AND(P34="ตัด D2",ISNUMBER(D34),ISNUMBER(F34)),D34*F34,"")</f>
        <v/>
      </c>
      <c r="V34" s="73" t="n"/>
      <c r="W34" s="70">
        <f>IF(C34="","",IF(AND(ISNUMBER(D34),D34=0),"✔ ไม่เคยทำ (ข้าม)",IF(COUNTA(D34:P34)=0,"○ ยังไม่เริ่ม",IF(IF(D34="","จำนวน/ปี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","")="","✔ ครบ","⏳ ขาด: "&amp;TRIM(IF(D34="","จำนวน/ปี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",""))))))</f>
        <v/>
      </c>
    </row>
    <row r="35">
      <c r="A35" s="69" t="n">
        <v>29</v>
      </c>
      <c r="B35" s="70" t="inlineStr">
        <is>
          <t>HR: บริหารเวลาปฏิบัติงาน (บุคลากรสายสนับสนุน)</t>
        </is>
      </c>
      <c r="C35" s="71" t="inlineStr">
        <is>
          <t>ลาอุปสมบท</t>
        </is>
      </c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69">
        <f>IF(COUNTA(G35:I35,M35)&lt;4,"",Settings!$C$5*(G35="Yes")+Settings!$C$6*(H35="Yes")+Settings!$C$7*(I35="Yes")+Settings!$C$8*(M35="No"))</f>
        <v/>
      </c>
      <c r="S35" s="69">
        <f>IF(R35="","",IF(R35&gt;=Settings!$C$13,"สูง",IF(R35&gt;=Settings!$C$12,"ปานกลาง","ต่ำ")))</f>
        <v/>
      </c>
      <c r="T35" s="70">
        <f>IF(OR(S35="",P35=""),"",IF(AND(S35="สูง",P35="ตัด D2"),"⚠ เสี่ยงสูงแต่เสนอตัด D2 — ควรทบทวน",IF(AND(S35="ต่ำ",P35="คง D2"),"ℹ เสี่ยงต่ำแต่เสนอคง D2 — อาจควบคุมเกินจำเป็น",IF(AND(P35="เปลี่ยนเป็นหน่วยงานผู้เชี่ยวชาญ",M35="No"),"⚠ เสนอโอน แต่ตอบว่ายังไม่มีผู้เชี่ยวชาญตรวจ",IF(AND(P35="เปลี่ยนเป็นหน่วยงานผู้เชี่ยวชาญ",Q35=""),"⚠ ยังไม่ระบุหน่วยงานผู้เชี่ยวชาญ","")))))</f>
        <v/>
      </c>
      <c r="U35" s="69">
        <f>IF(AND(P35="ตัด D2",ISNUMBER(D35),ISNUMBER(F35)),D35*F35,"")</f>
        <v/>
      </c>
      <c r="V35" s="73" t="n"/>
      <c r="W35" s="70">
        <f>IF(C35="","",IF(AND(ISNUMBER(D35),D35=0),"✔ ไม่เคยทำ (ข้าม)",IF(COUNTA(D35:P35)=0,"○ ยังไม่เริ่ม",IF(IF(D35="","จำนวน/ปี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","")="","✔ ครบ","⏳ ขาด: "&amp;TRIM(IF(D35="","จำนวน/ปี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",""))))))</f>
        <v/>
      </c>
    </row>
    <row r="36">
      <c r="A36" s="69" t="n">
        <v>30</v>
      </c>
      <c r="B36" s="70" t="inlineStr">
        <is>
          <t>HR: บริหารเวลาปฏิบัติงาน (บุคลากรสายสนับสนุน)</t>
        </is>
      </c>
      <c r="C36" s="71" t="inlineStr">
        <is>
          <t>ลาไปช่วยเหลือภริยาคลอดบุตร</t>
        </is>
      </c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69">
        <f>IF(COUNTA(G36:I36,M36)&lt;4,"",Settings!$C$5*(G36="Yes")+Settings!$C$6*(H36="Yes")+Settings!$C$7*(I36="Yes")+Settings!$C$8*(M36="No"))</f>
        <v/>
      </c>
      <c r="S36" s="69">
        <f>IF(R36="","",IF(R36&gt;=Settings!$C$13,"สูง",IF(R36&gt;=Settings!$C$12,"ปานกลาง","ต่ำ")))</f>
        <v/>
      </c>
      <c r="T36" s="70">
        <f>IF(OR(S36="",P36=""),"",IF(AND(S36="สูง",P36="ตัด D2"),"⚠ เสี่ยงสูงแต่เสนอตัด D2 — ควรทบทวน",IF(AND(S36="ต่ำ",P36="คง D2"),"ℹ เสี่ยงต่ำแต่เสนอคง D2 — อาจควบคุมเกินจำเป็น",IF(AND(P36="เปลี่ยนเป็นหน่วยงานผู้เชี่ยวชาญ",M36="No"),"⚠ เสนอโอน แต่ตอบว่ายังไม่มีผู้เชี่ยวชาญตรวจ",IF(AND(P36="เปลี่ยนเป็นหน่วยงานผู้เชี่ยวชาญ",Q36=""),"⚠ ยังไม่ระบุหน่วยงานผู้เชี่ยวชาญ","")))))</f>
        <v/>
      </c>
      <c r="U36" s="69">
        <f>IF(AND(P36="ตัด D2",ISNUMBER(D36),ISNUMBER(F36)),D36*F36,"")</f>
        <v/>
      </c>
      <c r="V36" s="73" t="n"/>
      <c r="W36" s="70">
        <f>IF(C36="","",IF(AND(ISNUMBER(D36),D36=0),"✔ ไม่เคยทำ (ข้าม)",IF(COUNTA(D36:P36)=0,"○ ยังไม่เริ่ม",IF(IF(D36="","จำนวน/ปี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","")="","✔ ครบ","⏳ ขาด: "&amp;TRIM(IF(D36="","จำนวน/ปี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",""))))))</f>
        <v/>
      </c>
    </row>
    <row r="37">
      <c r="A37" s="69" t="n">
        <v>31</v>
      </c>
      <c r="B37" s="70" t="inlineStr">
        <is>
          <t>HR: บริหารเวลาปฏิบัติงาน (บุคลากรสายสนับสนุน)</t>
        </is>
      </c>
      <c r="C37" s="71" t="inlineStr">
        <is>
          <t>ปฏิบัติงานนอกสถานที่</t>
        </is>
      </c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69">
        <f>IF(COUNTA(G37:I37,M37)&lt;4,"",Settings!$C$5*(G37="Yes")+Settings!$C$6*(H37="Yes")+Settings!$C$7*(I37="Yes")+Settings!$C$8*(M37="No"))</f>
        <v/>
      </c>
      <c r="S37" s="69">
        <f>IF(R37="","",IF(R37&gt;=Settings!$C$13,"สูง",IF(R37&gt;=Settings!$C$12,"ปานกลาง","ต่ำ")))</f>
        <v/>
      </c>
      <c r="T37" s="70">
        <f>IF(OR(S37="",P37=""),"",IF(AND(S37="สูง",P37="ตัด D2"),"⚠ เสี่ยงสูงแต่เสนอตัด D2 — ควรทบทวน",IF(AND(S37="ต่ำ",P37="คง D2"),"ℹ เสี่ยงต่ำแต่เสนอคง D2 — อาจควบคุมเกินจำเป็น",IF(AND(P37="เปลี่ยนเป็นหน่วยงานผู้เชี่ยวชาญ",M37="No"),"⚠ เสนอโอน แต่ตอบว่ายังไม่มีผู้เชี่ยวชาญตรวจ",IF(AND(P37="เปลี่ยนเป็นหน่วยงานผู้เชี่ยวชาญ",Q37=""),"⚠ ยังไม่ระบุหน่วยงานผู้เชี่ยวชาญ","")))))</f>
        <v/>
      </c>
      <c r="U37" s="69">
        <f>IF(AND(P37="ตัด D2",ISNUMBER(D37),ISNUMBER(F37)),D37*F37,"")</f>
        <v/>
      </c>
      <c r="V37" s="73" t="n"/>
      <c r="W37" s="70">
        <f>IF(C37="","",IF(AND(ISNUMBER(D37),D37=0),"✔ ไม่เคยทำ (ข้าม)",IF(COUNTA(D37:P37)=0,"○ ยังไม่เริ่ม",IF(IF(D37="","จำนวน/ปี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","")="","✔ ครบ","⏳ ขาด: "&amp;TRIM(IF(D37="","จำนวน/ปี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",""))))))</f>
        <v/>
      </c>
    </row>
    <row r="38">
      <c r="A38" s="69" t="n">
        <v>32</v>
      </c>
      <c r="B38" s="70" t="inlineStr">
        <is>
          <t>HR: พัฒนาบุคลากร</t>
        </is>
      </c>
      <c r="C38" s="71" t="inlineStr">
        <is>
          <t>อบรมในประเทศ/ประชุมวิชาการ/สัมมนา/ศึกษาดูงานในประเทศ</t>
        </is>
      </c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69">
        <f>IF(COUNTA(G38:I38,M38)&lt;4,"",Settings!$C$5*(G38="Yes")+Settings!$C$6*(H38="Yes")+Settings!$C$7*(I38="Yes")+Settings!$C$8*(M38="No"))</f>
        <v/>
      </c>
      <c r="S38" s="69">
        <f>IF(R38="","",IF(R38&gt;=Settings!$C$13,"สูง",IF(R38&gt;=Settings!$C$12,"ปานกลาง","ต่ำ")))</f>
        <v/>
      </c>
      <c r="T38" s="70">
        <f>IF(OR(S38="",P38=""),"",IF(AND(S38="สูง",P38="ตัด D2"),"⚠ เสี่ยงสูงแต่เสนอตัด D2 — ควรทบทวน",IF(AND(S38="ต่ำ",P38="คง D2"),"ℹ เสี่ยงต่ำแต่เสนอคง D2 — อาจควบคุมเกินจำเป็น",IF(AND(P38="เปลี่ยนเป็นหน่วยงานผู้เชี่ยวชาญ",M38="No"),"⚠ เสนอโอน แต่ตอบว่ายังไม่มีผู้เชี่ยวชาญตรวจ",IF(AND(P38="เปลี่ยนเป็นหน่วยงานผู้เชี่ยวชาญ",Q38=""),"⚠ ยังไม่ระบุหน่วยงานผู้เชี่ยวชาญ","")))))</f>
        <v/>
      </c>
      <c r="U38" s="69">
        <f>IF(AND(P38="ตัด D2",ISNUMBER(D38),ISNUMBER(F38)),D38*F38,"")</f>
        <v/>
      </c>
      <c r="V38" s="73" t="n"/>
      <c r="W38" s="70">
        <f>IF(C38="","",IF(AND(ISNUMBER(D38),D38=0),"✔ ไม่เคยทำ (ข้าม)",IF(COUNTA(D38:P38)=0,"○ ยังไม่เริ่ม",IF(IF(D38="","จำนวน/ปี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","")="","✔ ครบ","⏳ ขาด: "&amp;TRIM(IF(D38="","จำนวน/ปี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",""))))))</f>
        <v/>
      </c>
    </row>
    <row r="39">
      <c r="A39" s="69" t="n">
        <v>33</v>
      </c>
      <c r="B39" s="70" t="inlineStr">
        <is>
          <t>HR: พัฒนาบุคลากร</t>
        </is>
      </c>
      <c r="C39" s="71" t="inlineStr">
        <is>
          <t>เข้าร่วมโครงการแลกเปลี่ยนระยะสั้น/ศึกษาดูงาน/อบรมต่างประเทศ/ศึกษาต่อ</t>
        </is>
      </c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69">
        <f>IF(COUNTA(G39:I39,M39)&lt;4,"",Settings!$C$5*(G39="Yes")+Settings!$C$6*(H39="Yes")+Settings!$C$7*(I39="Yes")+Settings!$C$8*(M39="No"))</f>
        <v/>
      </c>
      <c r="S39" s="69">
        <f>IF(R39="","",IF(R39&gt;=Settings!$C$13,"สูง",IF(R39&gt;=Settings!$C$12,"ปานกลาง","ต่ำ")))</f>
        <v/>
      </c>
      <c r="T39" s="70">
        <f>IF(OR(S39="",P39=""),"",IF(AND(S39="สูง",P39="ตัด D2"),"⚠ เสี่ยงสูงแต่เสนอตัด D2 — ควรทบทวน",IF(AND(S39="ต่ำ",P39="คง D2"),"ℹ เสี่ยงต่ำแต่เสนอคง D2 — อาจควบคุมเกินจำเป็น",IF(AND(P39="เปลี่ยนเป็นหน่วยงานผู้เชี่ยวชาญ",M39="No"),"⚠ เสนอโอน แต่ตอบว่ายังไม่มีผู้เชี่ยวชาญตรวจ",IF(AND(P39="เปลี่ยนเป็นหน่วยงานผู้เชี่ยวชาญ",Q39=""),"⚠ ยังไม่ระบุหน่วยงานผู้เชี่ยวชาญ","")))))</f>
        <v/>
      </c>
      <c r="U39" s="69">
        <f>IF(AND(P39="ตัด D2",ISNUMBER(D39),ISNUMBER(F39)),D39*F39,"")</f>
        <v/>
      </c>
      <c r="V39" s="73" t="n"/>
      <c r="W39" s="70">
        <f>IF(C39="","",IF(AND(ISNUMBER(D39),D39=0),"✔ ไม่เคยทำ (ข้าม)",IF(COUNTA(D39:P39)=0,"○ ยังไม่เริ่ม",IF(IF(D39="","จำนวน/ปี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","")="","✔ ครบ","⏳ ขาด: "&amp;TRIM(IF(D39="","จำนวน/ปี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",""))))))</f>
        <v/>
      </c>
    </row>
    <row r="40">
      <c r="A40" s="69" t="n">
        <v>34</v>
      </c>
      <c r="B40" s="70" t="inlineStr">
        <is>
          <t>HR: อัตรากำลังและสรรหา</t>
        </is>
      </c>
      <c r="C40" s="71" t="inlineStr">
        <is>
          <t>ขอทดแทนอัตราว่าง</t>
        </is>
      </c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69">
        <f>IF(COUNTA(G40:I40,M40)&lt;4,"",Settings!$C$5*(G40="Yes")+Settings!$C$6*(H40="Yes")+Settings!$C$7*(I40="Yes")+Settings!$C$8*(M40="No"))</f>
        <v/>
      </c>
      <c r="S40" s="69">
        <f>IF(R40="","",IF(R40&gt;=Settings!$C$13,"สูง",IF(R40&gt;=Settings!$C$12,"ปานกลาง","ต่ำ")))</f>
        <v/>
      </c>
      <c r="T40" s="70">
        <f>IF(OR(S40="",P40=""),"",IF(AND(S40="สูง",P40="ตัด D2"),"⚠ เสี่ยงสูงแต่เสนอตัด D2 — ควรทบทวน",IF(AND(S40="ต่ำ",P40="คง D2"),"ℹ เสี่ยงต่ำแต่เสนอคง D2 — อาจควบคุมเกินจำเป็น",IF(AND(P40="เปลี่ยนเป็นหน่วยงานผู้เชี่ยวชาญ",M40="No"),"⚠ เสนอโอน แต่ตอบว่ายังไม่มีผู้เชี่ยวชาญตรวจ",IF(AND(P40="เปลี่ยนเป็นหน่วยงานผู้เชี่ยวชาญ",Q40=""),"⚠ ยังไม่ระบุหน่วยงานผู้เชี่ยวชาญ","")))))</f>
        <v/>
      </c>
      <c r="U40" s="69">
        <f>IF(AND(P40="ตัด D2",ISNUMBER(D40),ISNUMBER(F40)),D40*F40,"")</f>
        <v/>
      </c>
      <c r="V40" s="73" t="n"/>
      <c r="W40" s="70">
        <f>IF(C40="","",IF(AND(ISNUMBER(D40),D40=0),"✔ ไม่เคยทำ (ข้าม)",IF(COUNTA(D40:P40)=0,"○ ยังไม่เริ่ม",IF(IF(D40="","จำนวน/ปี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","")="","✔ ครบ","⏳ ขาด: "&amp;TRIM(IF(D40="","จำนวน/ปี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",""))))))</f>
        <v/>
      </c>
    </row>
    <row r="41">
      <c r="A41" s="69" t="n">
        <v>35</v>
      </c>
      <c r="B41" s="70" t="inlineStr">
        <is>
          <t>HR: อัตรากำลังและสรรหา</t>
        </is>
      </c>
      <c r="C41" s="71" t="inlineStr">
        <is>
          <t>ขอกรอบอัตรากำลังใหม่</t>
        </is>
      </c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69">
        <f>IF(COUNTA(G41:I41,M41)&lt;4,"",Settings!$C$5*(G41="Yes")+Settings!$C$6*(H41="Yes")+Settings!$C$7*(I41="Yes")+Settings!$C$8*(M41="No"))</f>
        <v/>
      </c>
      <c r="S41" s="69">
        <f>IF(R41="","",IF(R41&gt;=Settings!$C$13,"สูง",IF(R41&gt;=Settings!$C$12,"ปานกลาง","ต่ำ")))</f>
        <v/>
      </c>
      <c r="T41" s="70">
        <f>IF(OR(S41="",P41=""),"",IF(AND(S41="สูง",P41="ตัด D2"),"⚠ เสี่ยงสูงแต่เสนอตัด D2 — ควรทบทวน",IF(AND(S41="ต่ำ",P41="คง D2"),"ℹ เสี่ยงต่ำแต่เสนอคง D2 — อาจควบคุมเกินจำเป็น",IF(AND(P41="เปลี่ยนเป็นหน่วยงานผู้เชี่ยวชาญ",M41="No"),"⚠ เสนอโอน แต่ตอบว่ายังไม่มีผู้เชี่ยวชาญตรวจ",IF(AND(P41="เปลี่ยนเป็นหน่วยงานผู้เชี่ยวชาญ",Q41=""),"⚠ ยังไม่ระบุหน่วยงานผู้เชี่ยวชาญ","")))))</f>
        <v/>
      </c>
      <c r="U41" s="69">
        <f>IF(AND(P41="ตัด D2",ISNUMBER(D41),ISNUMBER(F41)),D41*F41,"")</f>
        <v/>
      </c>
      <c r="V41" s="73" t="n"/>
      <c r="W41" s="70">
        <f>IF(C41="","",IF(AND(ISNUMBER(D41),D41=0),"✔ ไม่เคยทำ (ข้าม)",IF(COUNTA(D41:P41)=0,"○ ยังไม่เริ่ม",IF(IF(D41="","จำนวน/ปี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","")="","✔ ครบ","⏳ ขาด: "&amp;TRIM(IF(D41="","จำนวน/ปี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",""))))))</f>
        <v/>
      </c>
    </row>
    <row r="42">
      <c r="A42" s="69" t="n">
        <v>36</v>
      </c>
      <c r="B42" s="70" t="inlineStr">
        <is>
          <t>HR: อัตรากำลังและสรรหา</t>
        </is>
      </c>
      <c r="C42" s="71" t="inlineStr">
        <is>
          <t>ขอจ้างพนักงานชั่วคราว</t>
        </is>
      </c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69">
        <f>IF(COUNTA(G42:I42,M42)&lt;4,"",Settings!$C$5*(G42="Yes")+Settings!$C$6*(H42="Yes")+Settings!$C$7*(I42="Yes")+Settings!$C$8*(M42="No"))</f>
        <v/>
      </c>
      <c r="S42" s="69">
        <f>IF(R42="","",IF(R42&gt;=Settings!$C$13,"สูง",IF(R42&gt;=Settings!$C$12,"ปานกลาง","ต่ำ")))</f>
        <v/>
      </c>
      <c r="T42" s="70">
        <f>IF(OR(S42="",P42=""),"",IF(AND(S42="สูง",P42="ตัด D2"),"⚠ เสี่ยงสูงแต่เสนอตัด D2 — ควรทบทวน",IF(AND(S42="ต่ำ",P42="คง D2"),"ℹ เสี่ยงต่ำแต่เสนอคง D2 — อาจควบคุมเกินจำเป็น",IF(AND(P42="เปลี่ยนเป็นหน่วยงานผู้เชี่ยวชาญ",M42="No"),"⚠ เสนอโอน แต่ตอบว่ายังไม่มีผู้เชี่ยวชาญตรวจ",IF(AND(P42="เปลี่ยนเป็นหน่วยงานผู้เชี่ยวชาญ",Q42=""),"⚠ ยังไม่ระบุหน่วยงานผู้เชี่ยวชาญ","")))))</f>
        <v/>
      </c>
      <c r="U42" s="69">
        <f>IF(AND(P42="ตัด D2",ISNUMBER(D42),ISNUMBER(F42)),D42*F42,"")</f>
        <v/>
      </c>
      <c r="V42" s="73" t="n"/>
      <c r="W42" s="70">
        <f>IF(C42="","",IF(AND(ISNUMBER(D42),D42=0),"✔ ไม่เคยทำ (ข้าม)",IF(COUNTA(D42:P42)=0,"○ ยังไม่เริ่ม",IF(IF(D42="","จำนวน/ปี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","")="","✔ ครบ","⏳ ขาด: "&amp;TRIM(IF(D42="","จำนวน/ปี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",""))))))</f>
        <v/>
      </c>
    </row>
    <row r="43">
      <c r="A43" s="69" t="n">
        <v>37</v>
      </c>
      <c r="B43" s="70" t="inlineStr">
        <is>
          <t>HR: อัตรากำลังและสรรหา</t>
        </is>
      </c>
      <c r="C43" s="71" t="inlineStr">
        <is>
          <t>ต่อสัญญาจ้าง</t>
        </is>
      </c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69">
        <f>IF(COUNTA(G43:I43,M43)&lt;4,"",Settings!$C$5*(G43="Yes")+Settings!$C$6*(H43="Yes")+Settings!$C$7*(I43="Yes")+Settings!$C$8*(M43="No"))</f>
        <v/>
      </c>
      <c r="S43" s="69">
        <f>IF(R43="","",IF(R43&gt;=Settings!$C$13,"สูง",IF(R43&gt;=Settings!$C$12,"ปานกลาง","ต่ำ")))</f>
        <v/>
      </c>
      <c r="T43" s="70">
        <f>IF(OR(S43="",P43=""),"",IF(AND(S43="สูง",P43="ตัด D2"),"⚠ เสี่ยงสูงแต่เสนอตัด D2 — ควรทบทวน",IF(AND(S43="ต่ำ",P43="คง D2"),"ℹ เสี่ยงต่ำแต่เสนอคง D2 — อาจควบคุมเกินจำเป็น",IF(AND(P43="เปลี่ยนเป็นหน่วยงานผู้เชี่ยวชาญ",M43="No"),"⚠ เสนอโอน แต่ตอบว่ายังไม่มีผู้เชี่ยวชาญตรวจ",IF(AND(P43="เปลี่ยนเป็นหน่วยงานผู้เชี่ยวชาญ",Q43=""),"⚠ ยังไม่ระบุหน่วยงานผู้เชี่ยวชาญ","")))))</f>
        <v/>
      </c>
      <c r="U43" s="69">
        <f>IF(AND(P43="ตัด D2",ISNUMBER(D43),ISNUMBER(F43)),D43*F43,"")</f>
        <v/>
      </c>
      <c r="V43" s="73" t="n"/>
      <c r="W43" s="70">
        <f>IF(C43="","",IF(AND(ISNUMBER(D43),D43=0),"✔ ไม่เคยทำ (ข้าม)",IF(COUNTA(D43:P43)=0,"○ ยังไม่เริ่ม",IF(IF(D43="","จำนวน/ปี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","")="","✔ ครบ","⏳ ขาด: "&amp;TRIM(IF(D43="","จำนวน/ปี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",""))))))</f>
        <v/>
      </c>
    </row>
    <row r="44">
      <c r="A44" s="69" t="n">
        <v>38</v>
      </c>
      <c r="B44" s="70" t="inlineStr">
        <is>
          <t>HR: อัตรากำลังและสรรหา</t>
        </is>
      </c>
      <c r="C44" s="71" t="inlineStr">
        <is>
          <t>กำหนดกรอบภาระงานใหม่</t>
        </is>
      </c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69">
        <f>IF(COUNTA(G44:I44,M44)&lt;4,"",Settings!$C$5*(G44="Yes")+Settings!$C$6*(H44="Yes")+Settings!$C$7*(I44="Yes")+Settings!$C$8*(M44="No"))</f>
        <v/>
      </c>
      <c r="S44" s="69">
        <f>IF(R44="","",IF(R44&gt;=Settings!$C$13,"สูง",IF(R44&gt;=Settings!$C$12,"ปานกลาง","ต่ำ")))</f>
        <v/>
      </c>
      <c r="T44" s="70">
        <f>IF(OR(S44="",P44=""),"",IF(AND(S44="สูง",P44="ตัด D2"),"⚠ เสี่ยงสูงแต่เสนอตัด D2 — ควรทบทวน",IF(AND(S44="ต่ำ",P44="คง D2"),"ℹ เสี่ยงต่ำแต่เสนอคง D2 — อาจควบคุมเกินจำเป็น",IF(AND(P44="เปลี่ยนเป็นหน่วยงานผู้เชี่ยวชาญ",M44="No"),"⚠ เสนอโอน แต่ตอบว่ายังไม่มีผู้เชี่ยวชาญตรวจ",IF(AND(P44="เปลี่ยนเป็นหน่วยงานผู้เชี่ยวชาญ",Q44=""),"⚠ ยังไม่ระบุหน่วยงานผู้เชี่ยวชาญ","")))))</f>
        <v/>
      </c>
      <c r="U44" s="69">
        <f>IF(AND(P44="ตัด D2",ISNUMBER(D44),ISNUMBER(F44)),D44*F44,"")</f>
        <v/>
      </c>
      <c r="V44" s="73" t="n"/>
      <c r="W44" s="70">
        <f>IF(C44="","",IF(AND(ISNUMBER(D44),D44=0),"✔ ไม่เคยทำ (ข้าม)",IF(COUNTA(D44:P44)=0,"○ ยังไม่เริ่ม",IF(IF(D44="","จำนวน/ปี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","")="","✔ ครบ","⏳ ขาด: "&amp;TRIM(IF(D44="","จำนวน/ปี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",""))))))</f>
        <v/>
      </c>
    </row>
    <row r="45">
      <c r="A45" s="69" t="n">
        <v>39</v>
      </c>
      <c r="B45" s="70" t="inlineStr">
        <is>
          <t>HR: วินัย ธรรมาภิบาล และข้อร้องเรียน</t>
        </is>
      </c>
      <c r="C45" s="71" t="inlineStr">
        <is>
          <t>ข้อร้องเรียนบุคลากร</t>
        </is>
      </c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69">
        <f>IF(COUNTA(G45:I45,M45)&lt;4,"",Settings!$C$5*(G45="Yes")+Settings!$C$6*(H45="Yes")+Settings!$C$7*(I45="Yes")+Settings!$C$8*(M45="No"))</f>
        <v/>
      </c>
      <c r="S45" s="69">
        <f>IF(R45="","",IF(R45&gt;=Settings!$C$13,"สูง",IF(R45&gt;=Settings!$C$12,"ปานกลาง","ต่ำ")))</f>
        <v/>
      </c>
      <c r="T45" s="70">
        <f>IF(OR(S45="",P45=""),"",IF(AND(S45="สูง",P45="ตัด D2"),"⚠ เสี่ยงสูงแต่เสนอตัด D2 — ควรทบทวน",IF(AND(S45="ต่ำ",P45="คง D2"),"ℹ เสี่ยงต่ำแต่เสนอคง D2 — อาจควบคุมเกินจำเป็น",IF(AND(P45="เปลี่ยนเป็นหน่วยงานผู้เชี่ยวชาญ",M45="No"),"⚠ เสนอโอน แต่ตอบว่ายังไม่มีผู้เชี่ยวชาญตรวจ",IF(AND(P45="เปลี่ยนเป็นหน่วยงานผู้เชี่ยวชาญ",Q45=""),"⚠ ยังไม่ระบุหน่วยงานผู้เชี่ยวชาญ","")))))</f>
        <v/>
      </c>
      <c r="U45" s="69">
        <f>IF(AND(P45="ตัด D2",ISNUMBER(D45),ISNUMBER(F45)),D45*F45,"")</f>
        <v/>
      </c>
      <c r="V45" s="73" t="n"/>
      <c r="W45" s="70">
        <f>IF(C45="","",IF(AND(ISNUMBER(D45),D45=0),"✔ ไม่เคยทำ (ข้าม)",IF(COUNTA(D45:P45)=0,"○ ยังไม่เริ่ม",IF(IF(D45="","จำนวน/ปี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","")="","✔ ครบ","⏳ ขาด: "&amp;TRIM(IF(D45="","จำนวน/ปี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",""))))))</f>
        <v/>
      </c>
    </row>
    <row r="46">
      <c r="A46" s="69" t="n">
        <v>40</v>
      </c>
      <c r="B46" s="70" t="inlineStr">
        <is>
          <t>HR: วินัย ธรรมาภิบาล และข้อร้องเรียน</t>
        </is>
      </c>
      <c r="C46" s="71" t="inlineStr">
        <is>
          <t>การสอบข้อเท็จจริง</t>
        </is>
      </c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69">
        <f>IF(COUNTA(G46:I46,M46)&lt;4,"",Settings!$C$5*(G46="Yes")+Settings!$C$6*(H46="Yes")+Settings!$C$7*(I46="Yes")+Settings!$C$8*(M46="No"))</f>
        <v/>
      </c>
      <c r="S46" s="69">
        <f>IF(R46="","",IF(R46&gt;=Settings!$C$13,"สูง",IF(R46&gt;=Settings!$C$12,"ปานกลาง","ต่ำ")))</f>
        <v/>
      </c>
      <c r="T46" s="70">
        <f>IF(OR(S46="",P46=""),"",IF(AND(S46="สูง",P46="ตัด D2"),"⚠ เสี่ยงสูงแต่เสนอตัด D2 — ควรทบทวน",IF(AND(S46="ต่ำ",P46="คง D2"),"ℹ เสี่ยงต่ำแต่เสนอคง D2 — อาจควบคุมเกินจำเป็น",IF(AND(P46="เปลี่ยนเป็นหน่วยงานผู้เชี่ยวชาญ",M46="No"),"⚠ เสนอโอน แต่ตอบว่ายังไม่มีผู้เชี่ยวชาญตรวจ",IF(AND(P46="เปลี่ยนเป็นหน่วยงานผู้เชี่ยวชาญ",Q46=""),"⚠ ยังไม่ระบุหน่วยงานผู้เชี่ยวชาญ","")))))</f>
        <v/>
      </c>
      <c r="U46" s="69">
        <f>IF(AND(P46="ตัด D2",ISNUMBER(D46),ISNUMBER(F46)),D46*F46,"")</f>
        <v/>
      </c>
      <c r="V46" s="73" t="n"/>
      <c r="W46" s="70">
        <f>IF(C46="","",IF(AND(ISNUMBER(D46),D46=0),"✔ ไม่เคยทำ (ข้าม)",IF(COUNTA(D46:P46)=0,"○ ยังไม่เริ่ม",IF(IF(D46="","จำนวน/ปี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","")="","✔ ครบ","⏳ ขาด: "&amp;TRIM(IF(D46="","จำนวน/ปี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",""))))))</f>
        <v/>
      </c>
    </row>
    <row r="47">
      <c r="A47" s="69" t="n">
        <v>41</v>
      </c>
      <c r="B47" s="70" t="inlineStr">
        <is>
          <t>HR: วินัย ธรรมาภิบาล และข้อร้องเรียน</t>
        </is>
      </c>
      <c r="C47" s="71" t="inlineStr">
        <is>
          <t>การดำเนินการทางวินัย</t>
        </is>
      </c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69">
        <f>IF(COUNTA(G47:I47,M47)&lt;4,"",Settings!$C$5*(G47="Yes")+Settings!$C$6*(H47="Yes")+Settings!$C$7*(I47="Yes")+Settings!$C$8*(M47="No"))</f>
        <v/>
      </c>
      <c r="S47" s="69">
        <f>IF(R47="","",IF(R47&gt;=Settings!$C$13,"สูง",IF(R47&gt;=Settings!$C$12,"ปานกลาง","ต่ำ")))</f>
        <v/>
      </c>
      <c r="T47" s="70">
        <f>IF(OR(S47="",P47=""),"",IF(AND(S47="สูง",P47="ตัด D2"),"⚠ เสี่ยงสูงแต่เสนอตัด D2 — ควรทบทวน",IF(AND(S47="ต่ำ",P47="คง D2"),"ℹ เสี่ยงต่ำแต่เสนอคง D2 — อาจควบคุมเกินจำเป็น",IF(AND(P47="เปลี่ยนเป็นหน่วยงานผู้เชี่ยวชาญ",M47="No"),"⚠ เสนอโอน แต่ตอบว่ายังไม่มีผู้เชี่ยวชาญตรวจ",IF(AND(P47="เปลี่ยนเป็นหน่วยงานผู้เชี่ยวชาญ",Q47=""),"⚠ ยังไม่ระบุหน่วยงานผู้เชี่ยวชาญ","")))))</f>
        <v/>
      </c>
      <c r="U47" s="69">
        <f>IF(AND(P47="ตัด D2",ISNUMBER(D47),ISNUMBER(F47)),D47*F47,"")</f>
        <v/>
      </c>
      <c r="V47" s="73" t="n"/>
      <c r="W47" s="70">
        <f>IF(C47="","",IF(AND(ISNUMBER(D47),D47=0),"✔ ไม่เคยทำ (ข้าม)",IF(COUNTA(D47:P47)=0,"○ ยังไม่เริ่ม",IF(IF(D47="","จำนวน/ปี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","")="","✔ ครบ","⏳ ขาด: "&amp;TRIM(IF(D47="","จำนวน/ปี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",""))))))</f>
        <v/>
      </c>
    </row>
    <row r="48">
      <c r="A48" s="69" t="n">
        <v>42</v>
      </c>
      <c r="B48" s="70" t="inlineStr">
        <is>
          <t>HR: วินัย ธรรมาภิบาล และข้อร้องเรียน</t>
        </is>
      </c>
      <c r="C48" s="71" t="inlineStr">
        <is>
          <t>การอุทธรณ์ผลประเมิน</t>
        </is>
      </c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69">
        <f>IF(COUNTA(G48:I48,M48)&lt;4,"",Settings!$C$5*(G48="Yes")+Settings!$C$6*(H48="Yes")+Settings!$C$7*(I48="Yes")+Settings!$C$8*(M48="No"))</f>
        <v/>
      </c>
      <c r="S48" s="69">
        <f>IF(R48="","",IF(R48&gt;=Settings!$C$13,"สูง",IF(R48&gt;=Settings!$C$12,"ปานกลาง","ต่ำ")))</f>
        <v/>
      </c>
      <c r="T48" s="70">
        <f>IF(OR(S48="",P48=""),"",IF(AND(S48="สูง",P48="ตัด D2"),"⚠ เสี่ยงสูงแต่เสนอตัด D2 — ควรทบทวน",IF(AND(S48="ต่ำ",P48="คง D2"),"ℹ เสี่ยงต่ำแต่เสนอคง D2 — อาจควบคุมเกินจำเป็น",IF(AND(P48="เปลี่ยนเป็นหน่วยงานผู้เชี่ยวชาญ",M48="No"),"⚠ เสนอโอน แต่ตอบว่ายังไม่มีผู้เชี่ยวชาญตรวจ",IF(AND(P48="เปลี่ยนเป็นหน่วยงานผู้เชี่ยวชาญ",Q48=""),"⚠ ยังไม่ระบุหน่วยงานผู้เชี่ยวชาญ","")))))</f>
        <v/>
      </c>
      <c r="U48" s="69">
        <f>IF(AND(P48="ตัด D2",ISNUMBER(D48),ISNUMBER(F48)),D48*F48,"")</f>
        <v/>
      </c>
      <c r="V48" s="73" t="n"/>
      <c r="W48" s="70">
        <f>IF(C48="","",IF(AND(ISNUMBER(D48),D48=0),"✔ ไม่เคยทำ (ข้าม)",IF(COUNTA(D48:P48)=0,"○ ยังไม่เริ่ม",IF(IF(D48="","จำนวน/ปี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","")="","✔ ครบ","⏳ ขาด: "&amp;TRIM(IF(D48="","จำนวน/ปี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",""))))))</f>
        <v/>
      </c>
    </row>
    <row r="49">
      <c r="A49" s="72" t="n"/>
      <c r="B49" s="73" t="n"/>
      <c r="C49" s="73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69">
        <f>IF(COUNTA(G49:I49,M49)&lt;4,"",Settings!$C$5*(G49="Yes")+Settings!$C$6*(H49="Yes")+Settings!$C$7*(I49="Yes")+Settings!$C$8*(M49="No"))</f>
        <v/>
      </c>
      <c r="S49" s="69">
        <f>IF(R49="","",IF(R49&gt;=Settings!$C$13,"สูง",IF(R49&gt;=Settings!$C$12,"ปานกลาง","ต่ำ")))</f>
        <v/>
      </c>
      <c r="T49" s="70">
        <f>IF(OR(S49="",P49=""),"",IF(AND(S49="สูง",P49="ตัด D2"),"⚠ เสี่ยงสูงแต่เสนอตัด D2 — ควรทบทวน",IF(AND(S49="ต่ำ",P49="คง D2"),"ℹ เสี่ยงต่ำแต่เสนอคง D2 — อาจควบคุมเกินจำเป็น",IF(AND(P49="เปลี่ยนเป็นหน่วยงานผู้เชี่ยวชาญ",M49="No"),"⚠ เสนอโอน แต่ตอบว่ายังไม่มีผู้เชี่ยวชาญตรวจ",IF(AND(P49="เปลี่ยนเป็นหน่วยงานผู้เชี่ยวชาญ",Q49=""),"⚠ ยังไม่ระบุหน่วยงานผู้เชี่ยวชาญ","")))))</f>
        <v/>
      </c>
      <c r="U49" s="69">
        <f>IF(AND(P49="ตัด D2",ISNUMBER(D49),ISNUMBER(F49)),D49*F49,"")</f>
        <v/>
      </c>
      <c r="V49" s="73" t="n"/>
      <c r="W49" s="70">
        <f>IF(C49="","",IF(AND(ISNUMBER(D49),D49=0),"✔ ไม่เคยทำ (ข้าม)",IF(COUNTA(D49:P49)=0,"○ ยังไม่เริ่ม",IF(IF(D49="","จำนวน/ปี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","")="","✔ ครบ","⏳ ขาด: "&amp;TRIM(IF(D49="","จำนวน/ปี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",""))))))</f>
        <v/>
      </c>
    </row>
    <row r="50">
      <c r="A50" s="72" t="n"/>
      <c r="B50" s="73" t="n"/>
      <c r="C50" s="73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69">
        <f>IF(COUNTA(G50:I50,M50)&lt;4,"",Settings!$C$5*(G50="Yes")+Settings!$C$6*(H50="Yes")+Settings!$C$7*(I50="Yes")+Settings!$C$8*(M50="No"))</f>
        <v/>
      </c>
      <c r="S50" s="69">
        <f>IF(R50="","",IF(R50&gt;=Settings!$C$13,"สูง",IF(R50&gt;=Settings!$C$12,"ปานกลาง","ต่ำ")))</f>
        <v/>
      </c>
      <c r="T50" s="70">
        <f>IF(OR(S50="",P50=""),"",IF(AND(S50="สูง",P50="ตัด D2"),"⚠ เสี่ยงสูงแต่เสนอตัด D2 — ควรทบทวน",IF(AND(S50="ต่ำ",P50="คง D2"),"ℹ เสี่ยงต่ำแต่เสนอคง D2 — อาจควบคุมเกินจำเป็น",IF(AND(P50="เปลี่ยนเป็นหน่วยงานผู้เชี่ยวชาญ",M50="No"),"⚠ เสนอโอน แต่ตอบว่ายังไม่มีผู้เชี่ยวชาญตรวจ",IF(AND(P50="เปลี่ยนเป็นหน่วยงานผู้เชี่ยวชาญ",Q50=""),"⚠ ยังไม่ระบุหน่วยงานผู้เชี่ยวชาญ","")))))</f>
        <v/>
      </c>
      <c r="U50" s="69">
        <f>IF(AND(P50="ตัด D2",ISNUMBER(D50),ISNUMBER(F50)),D50*F50,"")</f>
        <v/>
      </c>
      <c r="V50" s="73" t="n"/>
      <c r="W50" s="70">
        <f>IF(C50="","",IF(AND(ISNUMBER(D50),D50=0),"✔ ไม่เคยทำ (ข้าม)",IF(COUNTA(D50:P50)=0,"○ ยังไม่เริ่ม",IF(IF(D50="","จำนวน/ปี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","")="","✔ ครบ","⏳ ขาด: "&amp;TRIM(IF(D50="","จำนวน/ปี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",""))))))</f>
        <v/>
      </c>
    </row>
    <row r="51">
      <c r="A51" s="72" t="n"/>
      <c r="B51" s="73" t="n"/>
      <c r="C51" s="73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69">
        <f>IF(COUNTA(G51:I51,M51)&lt;4,"",Settings!$C$5*(G51="Yes")+Settings!$C$6*(H51="Yes")+Settings!$C$7*(I51="Yes")+Settings!$C$8*(M51="No"))</f>
        <v/>
      </c>
      <c r="S51" s="69">
        <f>IF(R51="","",IF(R51&gt;=Settings!$C$13,"สูง",IF(R51&gt;=Settings!$C$12,"ปานกลาง","ต่ำ")))</f>
        <v/>
      </c>
      <c r="T51" s="70">
        <f>IF(OR(S51="",P51=""),"",IF(AND(S51="สูง",P51="ตัด D2"),"⚠ เสี่ยงสูงแต่เสนอตัด D2 — ควรทบทวน",IF(AND(S51="ต่ำ",P51="คง D2"),"ℹ เสี่ยงต่ำแต่เสนอคง D2 — อาจควบคุมเกินจำเป็น",IF(AND(P51="เปลี่ยนเป็นหน่วยงานผู้เชี่ยวชาญ",M51="No"),"⚠ เสนอโอน แต่ตอบว่ายังไม่มีผู้เชี่ยวชาญตรวจ",IF(AND(P51="เปลี่ยนเป็นหน่วยงานผู้เชี่ยวชาญ",Q51=""),"⚠ ยังไม่ระบุหน่วยงานผู้เชี่ยวชาญ","")))))</f>
        <v/>
      </c>
      <c r="U51" s="69">
        <f>IF(AND(P51="ตัด D2",ISNUMBER(D51),ISNUMBER(F51)),D51*F51,"")</f>
        <v/>
      </c>
      <c r="V51" s="73" t="n"/>
      <c r="W51" s="70">
        <f>IF(C51="","",IF(AND(ISNUMBER(D51),D51=0),"✔ ไม่เคยทำ (ข้าม)",IF(COUNTA(D51:P51)=0,"○ ยังไม่เริ่ม",IF(IF(D51="","จำนวน/ปี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","")="","✔ ครบ","⏳ ขาด: "&amp;TRIM(IF(D51="","จำนวน/ปี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",""))))))</f>
        <v/>
      </c>
    </row>
    <row r="52">
      <c r="A52" s="72" t="n"/>
      <c r="B52" s="73" t="n"/>
      <c r="C52" s="73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69">
        <f>IF(COUNTA(G52:I52,M52)&lt;4,"",Settings!$C$5*(G52="Yes")+Settings!$C$6*(H52="Yes")+Settings!$C$7*(I52="Yes")+Settings!$C$8*(M52="No"))</f>
        <v/>
      </c>
      <c r="S52" s="69">
        <f>IF(R52="","",IF(R52&gt;=Settings!$C$13,"สูง",IF(R52&gt;=Settings!$C$12,"ปานกลาง","ต่ำ")))</f>
        <v/>
      </c>
      <c r="T52" s="70">
        <f>IF(OR(S52="",P52=""),"",IF(AND(S52="สูง",P52="ตัด D2"),"⚠ เสี่ยงสูงแต่เสนอตัด D2 — ควรทบทวน",IF(AND(S52="ต่ำ",P52="คง D2"),"ℹ เสี่ยงต่ำแต่เสนอคง D2 — อาจควบคุมเกินจำเป็น",IF(AND(P52="เปลี่ยนเป็นหน่วยงานผู้เชี่ยวชาญ",M52="No"),"⚠ เสนอโอน แต่ตอบว่ายังไม่มีผู้เชี่ยวชาญตรวจ",IF(AND(P52="เปลี่ยนเป็นหน่วยงานผู้เชี่ยวชาญ",Q52=""),"⚠ ยังไม่ระบุหน่วยงานผู้เชี่ยวชาญ","")))))</f>
        <v/>
      </c>
      <c r="U52" s="69">
        <f>IF(AND(P52="ตัด D2",ISNUMBER(D52),ISNUMBER(F52)),D52*F52,"")</f>
        <v/>
      </c>
      <c r="V52" s="73" t="n"/>
      <c r="W52" s="70">
        <f>IF(C52="","",IF(AND(ISNUMBER(D52),D52=0),"✔ ไม่เคยทำ (ข้าม)",IF(COUNTA(D52:P52)=0,"○ ยังไม่เริ่ม",IF(IF(D52="","จำนวน/ปี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","")="","✔ ครบ","⏳ ขาด: "&amp;TRIM(IF(D52="","จำนวน/ปี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",""))))))</f>
        <v/>
      </c>
    </row>
    <row r="53">
      <c r="A53" s="72" t="n"/>
      <c r="B53" s="73" t="n"/>
      <c r="C53" s="73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69">
        <f>IF(COUNTA(G53:I53,M53)&lt;4,"",Settings!$C$5*(G53="Yes")+Settings!$C$6*(H53="Yes")+Settings!$C$7*(I53="Yes")+Settings!$C$8*(M53="No"))</f>
        <v/>
      </c>
      <c r="S53" s="69">
        <f>IF(R53="","",IF(R53&gt;=Settings!$C$13,"สูง",IF(R53&gt;=Settings!$C$12,"ปานกลาง","ต่ำ")))</f>
        <v/>
      </c>
      <c r="T53" s="70">
        <f>IF(OR(S53="",P53=""),"",IF(AND(S53="สูง",P53="ตัด D2"),"⚠ เสี่ยงสูงแต่เสนอตัด D2 — ควรทบทวน",IF(AND(S53="ต่ำ",P53="คง D2"),"ℹ เสี่ยงต่ำแต่เสนอคง D2 — อาจควบคุมเกินจำเป็น",IF(AND(P53="เปลี่ยนเป็นหน่วยงานผู้เชี่ยวชาญ",M53="No"),"⚠ เสนอโอน แต่ตอบว่ายังไม่มีผู้เชี่ยวชาญตรวจ",IF(AND(P53="เปลี่ยนเป็นหน่วยงานผู้เชี่ยวชาญ",Q53=""),"⚠ ยังไม่ระบุหน่วยงานผู้เชี่ยวชาญ","")))))</f>
        <v/>
      </c>
      <c r="U53" s="69">
        <f>IF(AND(P53="ตัด D2",ISNUMBER(D53),ISNUMBER(F53)),D53*F53,"")</f>
        <v/>
      </c>
      <c r="V53" s="73" t="n"/>
      <c r="W53" s="70">
        <f>IF(C53="","",IF(AND(ISNUMBER(D53),D53=0),"✔ ไม่เคยทำ (ข้าม)",IF(COUNTA(D53:P53)=0,"○ ยังไม่เริ่ม",IF(IF(D53="","จำนวน/ปี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","")="","✔ ครบ","⏳ ขาด: "&amp;TRIM(IF(D53="","จำนวน/ปี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",""))))))</f>
        <v/>
      </c>
    </row>
    <row r="54">
      <c r="A54" s="72" t="n"/>
      <c r="B54" s="73" t="n"/>
      <c r="C54" s="73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69">
        <f>IF(COUNTA(G54:I54,M54)&lt;4,"",Settings!$C$5*(G54="Yes")+Settings!$C$6*(H54="Yes")+Settings!$C$7*(I54="Yes")+Settings!$C$8*(M54="No"))</f>
        <v/>
      </c>
      <c r="S54" s="69">
        <f>IF(R54="","",IF(R54&gt;=Settings!$C$13,"สูง",IF(R54&gt;=Settings!$C$12,"ปานกลาง","ต่ำ")))</f>
        <v/>
      </c>
      <c r="T54" s="70">
        <f>IF(OR(S54="",P54=""),"",IF(AND(S54="สูง",P54="ตัด D2"),"⚠ เสี่ยงสูงแต่เสนอตัด D2 — ควรทบทวน",IF(AND(S54="ต่ำ",P54="คง D2"),"ℹ เสี่ยงต่ำแต่เสนอคง D2 — อาจควบคุมเกินจำเป็น",IF(AND(P54="เปลี่ยนเป็นหน่วยงานผู้เชี่ยวชาญ",M54="No"),"⚠ เสนอโอน แต่ตอบว่ายังไม่มีผู้เชี่ยวชาญตรวจ",IF(AND(P54="เปลี่ยนเป็นหน่วยงานผู้เชี่ยวชาญ",Q54=""),"⚠ ยังไม่ระบุหน่วยงานผู้เชี่ยวชาญ","")))))</f>
        <v/>
      </c>
      <c r="U54" s="69">
        <f>IF(AND(P54="ตัด D2",ISNUMBER(D54),ISNUMBER(F54)),D54*F54,"")</f>
        <v/>
      </c>
      <c r="V54" s="73" t="n"/>
      <c r="W54" s="70">
        <f>IF(C54="","",IF(AND(ISNUMBER(D54),D54=0),"✔ ไม่เคยทำ (ข้าม)",IF(COUNTA(D54:P54)=0,"○ ยังไม่เริ่ม",IF(IF(D54="","จำนวน/ปี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","")="","✔ ครบ","⏳ ขาด: "&amp;TRIM(IF(D54="","จำนวน/ปี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",""))))))</f>
        <v/>
      </c>
    </row>
    <row r="55">
      <c r="A55" s="72" t="n"/>
      <c r="B55" s="73" t="n"/>
      <c r="C55" s="73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69">
        <f>IF(COUNTA(G55:I55,M55)&lt;4,"",Settings!$C$5*(G55="Yes")+Settings!$C$6*(H55="Yes")+Settings!$C$7*(I55="Yes")+Settings!$C$8*(M55="No"))</f>
        <v/>
      </c>
      <c r="S55" s="69">
        <f>IF(R55="","",IF(R55&gt;=Settings!$C$13,"สูง",IF(R55&gt;=Settings!$C$12,"ปานกลาง","ต่ำ")))</f>
        <v/>
      </c>
      <c r="T55" s="70">
        <f>IF(OR(S55="",P55=""),"",IF(AND(S55="สูง",P55="ตัด D2"),"⚠ เสี่ยงสูงแต่เสนอตัด D2 — ควรทบทวน",IF(AND(S55="ต่ำ",P55="คง D2"),"ℹ เสี่ยงต่ำแต่เสนอคง D2 — อาจควบคุมเกินจำเป็น",IF(AND(P55="เปลี่ยนเป็นหน่วยงานผู้เชี่ยวชาญ",M55="No"),"⚠ เสนอโอน แต่ตอบว่ายังไม่มีผู้เชี่ยวชาญตรวจ",IF(AND(P55="เปลี่ยนเป็นหน่วยงานผู้เชี่ยวชาญ",Q55=""),"⚠ ยังไม่ระบุหน่วยงานผู้เชี่ยวชาญ","")))))</f>
        <v/>
      </c>
      <c r="U55" s="69">
        <f>IF(AND(P55="ตัด D2",ISNUMBER(D55),ISNUMBER(F55)),D55*F55,"")</f>
        <v/>
      </c>
      <c r="V55" s="73" t="n"/>
      <c r="W55" s="70">
        <f>IF(C55="","",IF(AND(ISNUMBER(D55),D55=0),"✔ ไม่เคยทำ (ข้าม)",IF(COUNTA(D55:P55)=0,"○ ยังไม่เริ่ม",IF(IF(D55="","จำนวน/ปี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","")="","✔ ครบ","⏳ ขาด: "&amp;TRIM(IF(D55="","จำนวน/ปี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",""))))))</f>
        <v/>
      </c>
    </row>
    <row r="56">
      <c r="A56" s="72" t="n"/>
      <c r="B56" s="73" t="n"/>
      <c r="C56" s="73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69">
        <f>IF(COUNTA(G56:I56,M56)&lt;4,"",Settings!$C$5*(G56="Yes")+Settings!$C$6*(H56="Yes")+Settings!$C$7*(I56="Yes")+Settings!$C$8*(M56="No"))</f>
        <v/>
      </c>
      <c r="S56" s="69">
        <f>IF(R56="","",IF(R56&gt;=Settings!$C$13,"สูง",IF(R56&gt;=Settings!$C$12,"ปานกลาง","ต่ำ")))</f>
        <v/>
      </c>
      <c r="T56" s="70">
        <f>IF(OR(S56="",P56=""),"",IF(AND(S56="สูง",P56="ตัด D2"),"⚠ เสี่ยงสูงแต่เสนอตัด D2 — ควรทบทวน",IF(AND(S56="ต่ำ",P56="คง D2"),"ℹ เสี่ยงต่ำแต่เสนอคง D2 — อาจควบคุมเกินจำเป็น",IF(AND(P56="เปลี่ยนเป็นหน่วยงานผู้เชี่ยวชาญ",M56="No"),"⚠ เสนอโอน แต่ตอบว่ายังไม่มีผู้เชี่ยวชาญตรวจ",IF(AND(P56="เปลี่ยนเป็นหน่วยงานผู้เชี่ยวชาญ",Q56=""),"⚠ ยังไม่ระบุหน่วยงานผู้เชี่ยวชาญ","")))))</f>
        <v/>
      </c>
      <c r="U56" s="69">
        <f>IF(AND(P56="ตัด D2",ISNUMBER(D56),ISNUMBER(F56)),D56*F56,"")</f>
        <v/>
      </c>
      <c r="V56" s="73" t="n"/>
      <c r="W56" s="70">
        <f>IF(C56="","",IF(AND(ISNUMBER(D56),D56=0),"✔ ไม่เคยทำ (ข้าม)",IF(COUNTA(D56:P56)=0,"○ ยังไม่เริ่ม",IF(IF(D56="","จำนวน/ปี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","")="","✔ ครบ","⏳ ขาด: "&amp;TRIM(IF(D56="","จำนวน/ปี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",""))))))</f>
        <v/>
      </c>
    </row>
    <row r="57">
      <c r="A57" s="72" t="n"/>
      <c r="B57" s="73" t="n"/>
      <c r="C57" s="73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69">
        <f>IF(COUNTA(G57:I57,M57)&lt;4,"",Settings!$C$5*(G57="Yes")+Settings!$C$6*(H57="Yes")+Settings!$C$7*(I57="Yes")+Settings!$C$8*(M57="No"))</f>
        <v/>
      </c>
      <c r="S57" s="69">
        <f>IF(R57="","",IF(R57&gt;=Settings!$C$13,"สูง",IF(R57&gt;=Settings!$C$12,"ปานกลาง","ต่ำ")))</f>
        <v/>
      </c>
      <c r="T57" s="70">
        <f>IF(OR(S57="",P57=""),"",IF(AND(S57="สูง",P57="ตัด D2"),"⚠ เสี่ยงสูงแต่เสนอตัด D2 — ควรทบทวน",IF(AND(S57="ต่ำ",P57="คง D2"),"ℹ เสี่ยงต่ำแต่เสนอคง D2 — อาจควบคุมเกินจำเป็น",IF(AND(P57="เปลี่ยนเป็นหน่วยงานผู้เชี่ยวชาญ",M57="No"),"⚠ เสนอโอน แต่ตอบว่ายังไม่มีผู้เชี่ยวชาญตรวจ",IF(AND(P57="เปลี่ยนเป็นหน่วยงานผู้เชี่ยวชาญ",Q57=""),"⚠ ยังไม่ระบุหน่วยงานผู้เชี่ยวชาญ","")))))</f>
        <v/>
      </c>
      <c r="U57" s="69">
        <f>IF(AND(P57="ตัด D2",ISNUMBER(D57),ISNUMBER(F57)),D57*F57,"")</f>
        <v/>
      </c>
      <c r="V57" s="73" t="n"/>
      <c r="W57" s="70">
        <f>IF(C57="","",IF(AND(ISNUMBER(D57),D57=0),"✔ ไม่เคยทำ (ข้าม)",IF(COUNTA(D57:P57)=0,"○ ยังไม่เริ่ม",IF(IF(D57="","จำนวน/ปี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","")="","✔ ครบ","⏳ ขาด: "&amp;TRIM(IF(D57="","จำนวน/ปี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",""))))))</f>
        <v/>
      </c>
    </row>
    <row r="58">
      <c r="A58" s="72" t="n"/>
      <c r="B58" s="73" t="n"/>
      <c r="C58" s="73" t="n"/>
      <c r="D58" s="72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69">
        <f>IF(COUNTA(G58:I58,M58)&lt;4,"",Settings!$C$5*(G58="Yes")+Settings!$C$6*(H58="Yes")+Settings!$C$7*(I58="Yes")+Settings!$C$8*(M58="No"))</f>
        <v/>
      </c>
      <c r="S58" s="69">
        <f>IF(R58="","",IF(R58&gt;=Settings!$C$13,"สูง",IF(R58&gt;=Settings!$C$12,"ปานกลาง","ต่ำ")))</f>
        <v/>
      </c>
      <c r="T58" s="70">
        <f>IF(OR(S58="",P58=""),"",IF(AND(S58="สูง",P58="ตัด D2"),"⚠ เสี่ยงสูงแต่เสนอตัด D2 — ควรทบทวน",IF(AND(S58="ต่ำ",P58="คง D2"),"ℹ เสี่ยงต่ำแต่เสนอคง D2 — อาจควบคุมเกินจำเป็น",IF(AND(P58="เปลี่ยนเป็นหน่วยงานผู้เชี่ยวชาญ",M58="No"),"⚠ เสนอโอน แต่ตอบว่ายังไม่มีผู้เชี่ยวชาญตรวจ",IF(AND(P58="เปลี่ยนเป็นหน่วยงานผู้เชี่ยวชาญ",Q58=""),"⚠ ยังไม่ระบุหน่วยงานผู้เชี่ยวชาญ","")))))</f>
        <v/>
      </c>
      <c r="U58" s="69">
        <f>IF(AND(P58="ตัด D2",ISNUMBER(D58),ISNUMBER(F58)),D58*F58,"")</f>
        <v/>
      </c>
      <c r="V58" s="73" t="n"/>
      <c r="W58" s="70">
        <f>IF(C58="","",IF(AND(ISNUMBER(D58),D58=0),"✔ ไม่เคยทำ (ข้าม)",IF(COUNTA(D58:P58)=0,"○ ยังไม่เริ่ม",IF(IF(D58="","จำนวน/ปี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","")="","✔ ครบ","⏳ ขาด: "&amp;TRIM(IF(D58="","จำนวน/ปี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",""))))))</f>
        <v/>
      </c>
    </row>
    <row r="59">
      <c r="A59" s="72" t="n"/>
      <c r="B59" s="73" t="n"/>
      <c r="C59" s="73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69">
        <f>IF(COUNTA(G59:I59,M59)&lt;4,"",Settings!$C$5*(G59="Yes")+Settings!$C$6*(H59="Yes")+Settings!$C$7*(I59="Yes")+Settings!$C$8*(M59="No"))</f>
        <v/>
      </c>
      <c r="S59" s="69">
        <f>IF(R59="","",IF(R59&gt;=Settings!$C$13,"สูง",IF(R59&gt;=Settings!$C$12,"ปานกลาง","ต่ำ")))</f>
        <v/>
      </c>
      <c r="T59" s="70">
        <f>IF(OR(S59="",P59=""),"",IF(AND(S59="สูง",P59="ตัด D2"),"⚠ เสี่ยงสูงแต่เสนอตัด D2 — ควรทบทวน",IF(AND(S59="ต่ำ",P59="คง D2"),"ℹ เสี่ยงต่ำแต่เสนอคง D2 — อาจควบคุมเกินจำเป็น",IF(AND(P59="เปลี่ยนเป็นหน่วยงานผู้เชี่ยวชาญ",M59="No"),"⚠ เสนอโอน แต่ตอบว่ายังไม่มีผู้เชี่ยวชาญตรวจ",IF(AND(P59="เปลี่ยนเป็นหน่วยงานผู้เชี่ยวชาญ",Q59=""),"⚠ ยังไม่ระบุหน่วยงานผู้เชี่ยวชาญ","")))))</f>
        <v/>
      </c>
      <c r="U59" s="69">
        <f>IF(AND(P59="ตัด D2",ISNUMBER(D59),ISNUMBER(F59)),D59*F59,"")</f>
        <v/>
      </c>
      <c r="V59" s="73" t="n"/>
      <c r="W59" s="70">
        <f>IF(C59="","",IF(AND(ISNUMBER(D59),D59=0),"✔ ไม่เคยทำ (ข้าม)",IF(COUNTA(D59:P59)=0,"○ ยังไม่เริ่ม",IF(IF(D59="","จำนวน/ปี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","")="","✔ ครบ","⏳ ขาด: "&amp;TRIM(IF(D59="","จำนวน/ปี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",""))))))</f>
        <v/>
      </c>
    </row>
    <row r="60">
      <c r="A60" s="72" t="n"/>
      <c r="B60" s="73" t="n"/>
      <c r="C60" s="73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69">
        <f>IF(COUNTA(G60:I60,M60)&lt;4,"",Settings!$C$5*(G60="Yes")+Settings!$C$6*(H60="Yes")+Settings!$C$7*(I60="Yes")+Settings!$C$8*(M60="No"))</f>
        <v/>
      </c>
      <c r="S60" s="69">
        <f>IF(R60="","",IF(R60&gt;=Settings!$C$13,"สูง",IF(R60&gt;=Settings!$C$12,"ปานกลาง","ต่ำ")))</f>
        <v/>
      </c>
      <c r="T60" s="70">
        <f>IF(OR(S60="",P60=""),"",IF(AND(S60="สูง",P60="ตัด D2"),"⚠ เสี่ยงสูงแต่เสนอตัด D2 — ควรทบทวน",IF(AND(S60="ต่ำ",P60="คง D2"),"ℹ เสี่ยงต่ำแต่เสนอคง D2 — อาจควบคุมเกินจำเป็น",IF(AND(P60="เปลี่ยนเป็นหน่วยงานผู้เชี่ยวชาญ",M60="No"),"⚠ เสนอโอน แต่ตอบว่ายังไม่มีผู้เชี่ยวชาญตรวจ",IF(AND(P60="เปลี่ยนเป็นหน่วยงานผู้เชี่ยวชาญ",Q60=""),"⚠ ยังไม่ระบุหน่วยงานผู้เชี่ยวชาญ","")))))</f>
        <v/>
      </c>
      <c r="U60" s="69">
        <f>IF(AND(P60="ตัด D2",ISNUMBER(D60),ISNUMBER(F60)),D60*F60,"")</f>
        <v/>
      </c>
      <c r="V60" s="73" t="n"/>
      <c r="W60" s="70">
        <f>IF(C60="","",IF(AND(ISNUMBER(D60),D60=0),"✔ ไม่เคยทำ (ข้าม)",IF(COUNTA(D60:P60)=0,"○ ยังไม่เริ่ม",IF(IF(D60="","จำนวน/ปี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","")="","✔ ครบ","⏳ ขาด: "&amp;TRIM(IF(D60="","จำนวน/ปี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",""))))))</f>
        <v/>
      </c>
    </row>
    <row r="61">
      <c r="A61" s="72" t="n"/>
      <c r="B61" s="73" t="n"/>
      <c r="C61" s="73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69">
        <f>IF(COUNTA(G61:I61,M61)&lt;4,"",Settings!$C$5*(G61="Yes")+Settings!$C$6*(H61="Yes")+Settings!$C$7*(I61="Yes")+Settings!$C$8*(M61="No"))</f>
        <v/>
      </c>
      <c r="S61" s="69">
        <f>IF(R61="","",IF(R61&gt;=Settings!$C$13,"สูง",IF(R61&gt;=Settings!$C$12,"ปานกลาง","ต่ำ")))</f>
        <v/>
      </c>
      <c r="T61" s="70">
        <f>IF(OR(S61="",P61=""),"",IF(AND(S61="สูง",P61="ตัด D2"),"⚠ เสี่ยงสูงแต่เสนอตัด D2 — ควรทบทวน",IF(AND(S61="ต่ำ",P61="คง D2"),"ℹ เสี่ยงต่ำแต่เสนอคง D2 — อาจควบคุมเกินจำเป็น",IF(AND(P61="เปลี่ยนเป็นหน่วยงานผู้เชี่ยวชาญ",M61="No"),"⚠ เสนอโอน แต่ตอบว่ายังไม่มีผู้เชี่ยวชาญตรวจ",IF(AND(P61="เปลี่ยนเป็นหน่วยงานผู้เชี่ยวชาญ",Q61=""),"⚠ ยังไม่ระบุหน่วยงานผู้เชี่ยวชาญ","")))))</f>
        <v/>
      </c>
      <c r="U61" s="69">
        <f>IF(AND(P61="ตัด D2",ISNUMBER(D61),ISNUMBER(F61)),D61*F61,"")</f>
        <v/>
      </c>
      <c r="V61" s="73" t="n"/>
      <c r="W61" s="70">
        <f>IF(C61="","",IF(AND(ISNUMBER(D61),D61=0),"✔ ไม่เคยทำ (ข้าม)",IF(COUNTA(D61:P61)=0,"○ ยังไม่เริ่ม",IF(IF(D61="","จำนวน/ปี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","")="","✔ ครบ","⏳ ขาด: "&amp;TRIM(IF(D61="","จำนวน/ปี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",""))))))</f>
        <v/>
      </c>
    </row>
    <row r="62">
      <c r="A62" s="72" t="n"/>
      <c r="B62" s="73" t="n"/>
      <c r="C62" s="73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69">
        <f>IF(COUNTA(G62:I62,M62)&lt;4,"",Settings!$C$5*(G62="Yes")+Settings!$C$6*(H62="Yes")+Settings!$C$7*(I62="Yes")+Settings!$C$8*(M62="No"))</f>
        <v/>
      </c>
      <c r="S62" s="69">
        <f>IF(R62="","",IF(R62&gt;=Settings!$C$13,"สูง",IF(R62&gt;=Settings!$C$12,"ปานกลาง","ต่ำ")))</f>
        <v/>
      </c>
      <c r="T62" s="70">
        <f>IF(OR(S62="",P62=""),"",IF(AND(S62="สูง",P62="ตัด D2"),"⚠ เสี่ยงสูงแต่เสนอตัด D2 — ควรทบทวน",IF(AND(S62="ต่ำ",P62="คง D2"),"ℹ เสี่ยงต่ำแต่เสนอคง D2 — อาจควบคุมเกินจำเป็น",IF(AND(P62="เปลี่ยนเป็นหน่วยงานผู้เชี่ยวชาญ",M62="No"),"⚠ เสนอโอน แต่ตอบว่ายังไม่มีผู้เชี่ยวชาญตรวจ",IF(AND(P62="เปลี่ยนเป็นหน่วยงานผู้เชี่ยวชาญ",Q62=""),"⚠ ยังไม่ระบุหน่วยงานผู้เชี่ยวชาญ","")))))</f>
        <v/>
      </c>
      <c r="U62" s="69">
        <f>IF(AND(P62="ตัด D2",ISNUMBER(D62),ISNUMBER(F62)),D62*F62,"")</f>
        <v/>
      </c>
      <c r="V62" s="73" t="n"/>
      <c r="W62" s="70">
        <f>IF(C62="","",IF(AND(ISNUMBER(D62),D62=0),"✔ ไม่เคยทำ (ข้าม)",IF(COUNTA(D62:P62)=0,"○ ยังไม่เริ่ม",IF(IF(D62="","จำนวน/ปี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","")="","✔ ครบ","⏳ ขาด: "&amp;TRIM(IF(D62="","จำนวน/ปี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",""))))))</f>
        <v/>
      </c>
    </row>
    <row r="63">
      <c r="A63" s="72" t="n"/>
      <c r="B63" s="73" t="n"/>
      <c r="C63" s="73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69">
        <f>IF(COUNTA(G63:I63,M63)&lt;4,"",Settings!$C$5*(G63="Yes")+Settings!$C$6*(H63="Yes")+Settings!$C$7*(I63="Yes")+Settings!$C$8*(M63="No"))</f>
        <v/>
      </c>
      <c r="S63" s="69">
        <f>IF(R63="","",IF(R63&gt;=Settings!$C$13,"สูง",IF(R63&gt;=Settings!$C$12,"ปานกลาง","ต่ำ")))</f>
        <v/>
      </c>
      <c r="T63" s="70">
        <f>IF(OR(S63="",P63=""),"",IF(AND(S63="สูง",P63="ตัด D2"),"⚠ เสี่ยงสูงแต่เสนอตัด D2 — ควรทบทวน",IF(AND(S63="ต่ำ",P63="คง D2"),"ℹ เสี่ยงต่ำแต่เสนอคง D2 — อาจควบคุมเกินจำเป็น",IF(AND(P63="เปลี่ยนเป็นหน่วยงานผู้เชี่ยวชาญ",M63="No"),"⚠ เสนอโอน แต่ตอบว่ายังไม่มีผู้เชี่ยวชาญตรวจ",IF(AND(P63="เปลี่ยนเป็นหน่วยงานผู้เชี่ยวชาญ",Q63=""),"⚠ ยังไม่ระบุหน่วยงานผู้เชี่ยวชาญ","")))))</f>
        <v/>
      </c>
      <c r="U63" s="69">
        <f>IF(AND(P63="ตัด D2",ISNUMBER(D63),ISNUMBER(F63)),D63*F63,"")</f>
        <v/>
      </c>
      <c r="V63" s="73" t="n"/>
      <c r="W63" s="70">
        <f>IF(C63="","",IF(AND(ISNUMBER(D63),D63=0),"✔ ไม่เคยทำ (ข้าม)",IF(COUNTA(D63:P63)=0,"○ ยังไม่เริ่ม",IF(IF(D63="","จำนวน/ปี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","")="","✔ ครบ","⏳ ขาด: "&amp;TRIM(IF(D63="","จำนวน/ปี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",""))))))</f>
        <v/>
      </c>
    </row>
    <row r="64">
      <c r="A64" s="72" t="n"/>
      <c r="B64" s="73" t="n"/>
      <c r="C64" s="73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69">
        <f>IF(COUNTA(G64:I64,M64)&lt;4,"",Settings!$C$5*(G64="Yes")+Settings!$C$6*(H64="Yes")+Settings!$C$7*(I64="Yes")+Settings!$C$8*(M64="No"))</f>
        <v/>
      </c>
      <c r="S64" s="69">
        <f>IF(R64="","",IF(R64&gt;=Settings!$C$13,"สูง",IF(R64&gt;=Settings!$C$12,"ปานกลาง","ต่ำ")))</f>
        <v/>
      </c>
      <c r="T64" s="70">
        <f>IF(OR(S64="",P64=""),"",IF(AND(S64="สูง",P64="ตัด D2"),"⚠ เสี่ยงสูงแต่เสนอตัด D2 — ควรทบทวน",IF(AND(S64="ต่ำ",P64="คง D2"),"ℹ เสี่ยงต่ำแต่เสนอคง D2 — อาจควบคุมเกินจำเป็น",IF(AND(P64="เปลี่ยนเป็นหน่วยงานผู้เชี่ยวชาญ",M64="No"),"⚠ เสนอโอน แต่ตอบว่ายังไม่มีผู้เชี่ยวชาญตรวจ",IF(AND(P64="เปลี่ยนเป็นหน่วยงานผู้เชี่ยวชาญ",Q64=""),"⚠ ยังไม่ระบุหน่วยงานผู้เชี่ยวชาญ","")))))</f>
        <v/>
      </c>
      <c r="U64" s="69">
        <f>IF(AND(P64="ตัด D2",ISNUMBER(D64),ISNUMBER(F64)),D64*F64,"")</f>
        <v/>
      </c>
      <c r="V64" s="73" t="n"/>
      <c r="W64" s="70">
        <f>IF(C64="","",IF(AND(ISNUMBER(D64),D64=0),"✔ ไม่เคยทำ (ข้าม)",IF(COUNTA(D64:P64)=0,"○ ยังไม่เริ่ม",IF(IF(D64="","จำนวน/ปี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","")="","✔ ครบ","⏳ ขาด: "&amp;TRIM(IF(D64="","จำนวน/ปี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",""))))))</f>
        <v/>
      </c>
    </row>
    <row r="65">
      <c r="A65" s="72" t="n"/>
      <c r="B65" s="73" t="n"/>
      <c r="C65" s="73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69">
        <f>IF(COUNTA(G65:I65,M65)&lt;4,"",Settings!$C$5*(G65="Yes")+Settings!$C$6*(H65="Yes")+Settings!$C$7*(I65="Yes")+Settings!$C$8*(M65="No"))</f>
        <v/>
      </c>
      <c r="S65" s="69">
        <f>IF(R65="","",IF(R65&gt;=Settings!$C$13,"สูง",IF(R65&gt;=Settings!$C$12,"ปานกลาง","ต่ำ")))</f>
        <v/>
      </c>
      <c r="T65" s="70">
        <f>IF(OR(S65="",P65=""),"",IF(AND(S65="สูง",P65="ตัด D2"),"⚠ เสี่ยงสูงแต่เสนอตัด D2 — ควรทบทวน",IF(AND(S65="ต่ำ",P65="คง D2"),"ℹ เสี่ยงต่ำแต่เสนอคง D2 — อาจควบคุมเกินจำเป็น",IF(AND(P65="เปลี่ยนเป็นหน่วยงานผู้เชี่ยวชาญ",M65="No"),"⚠ เสนอโอน แต่ตอบว่ายังไม่มีผู้เชี่ยวชาญตรวจ",IF(AND(P65="เปลี่ยนเป็นหน่วยงานผู้เชี่ยวชาญ",Q65=""),"⚠ ยังไม่ระบุหน่วยงานผู้เชี่ยวชาญ","")))))</f>
        <v/>
      </c>
      <c r="U65" s="69">
        <f>IF(AND(P65="ตัด D2",ISNUMBER(D65),ISNUMBER(F65)),D65*F65,"")</f>
        <v/>
      </c>
      <c r="V65" s="73" t="n"/>
      <c r="W65" s="70">
        <f>IF(C65="","",IF(AND(ISNUMBER(D65),D65=0),"✔ ไม่เคยทำ (ข้าม)",IF(COUNTA(D65:P65)=0,"○ ยังไม่เริ่ม",IF(IF(D65="","จำนวน/ปี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","")="","✔ ครบ","⏳ ขาด: "&amp;TRIM(IF(D65="","จำนวน/ปี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",""))))))</f>
        <v/>
      </c>
    </row>
    <row r="66">
      <c r="A66" s="72" t="n"/>
      <c r="B66" s="73" t="n"/>
      <c r="C66" s="73" t="n"/>
      <c r="D66" s="72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69">
        <f>IF(COUNTA(G66:I66,M66)&lt;4,"",Settings!$C$5*(G66="Yes")+Settings!$C$6*(H66="Yes")+Settings!$C$7*(I66="Yes")+Settings!$C$8*(M66="No"))</f>
        <v/>
      </c>
      <c r="S66" s="69">
        <f>IF(R66="","",IF(R66&gt;=Settings!$C$13,"สูง",IF(R66&gt;=Settings!$C$12,"ปานกลาง","ต่ำ")))</f>
        <v/>
      </c>
      <c r="T66" s="70">
        <f>IF(OR(S66="",P66=""),"",IF(AND(S66="สูง",P66="ตัด D2"),"⚠ เสี่ยงสูงแต่เสนอตัด D2 — ควรทบทวน",IF(AND(S66="ต่ำ",P66="คง D2"),"ℹ เสี่ยงต่ำแต่เสนอคง D2 — อาจควบคุมเกินจำเป็น",IF(AND(P66="เปลี่ยนเป็นหน่วยงานผู้เชี่ยวชาญ",M66="No"),"⚠ เสนอโอน แต่ตอบว่ายังไม่มีผู้เชี่ยวชาญตรวจ",IF(AND(P66="เปลี่ยนเป็นหน่วยงานผู้เชี่ยวชาญ",Q66=""),"⚠ ยังไม่ระบุหน่วยงานผู้เชี่ยวชาญ","")))))</f>
        <v/>
      </c>
      <c r="U66" s="69">
        <f>IF(AND(P66="ตัด D2",ISNUMBER(D66),ISNUMBER(F66)),D66*F66,"")</f>
        <v/>
      </c>
      <c r="V66" s="73" t="n"/>
      <c r="W66" s="70">
        <f>IF(C66="","",IF(AND(ISNUMBER(D66),D66=0),"✔ ไม่เคยทำ (ข้าม)",IF(COUNTA(D66:P66)=0,"○ ยังไม่เริ่ม",IF(IF(D66="","จำนวน/ปี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","")="","✔ ครบ","⏳ ขาด: "&amp;TRIM(IF(D66="","จำนวน/ปี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",""))))))</f>
        <v/>
      </c>
    </row>
    <row r="67">
      <c r="A67" s="72" t="n"/>
      <c r="B67" s="73" t="n"/>
      <c r="C67" s="73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69">
        <f>IF(COUNTA(G67:I67,M67)&lt;4,"",Settings!$C$5*(G67="Yes")+Settings!$C$6*(H67="Yes")+Settings!$C$7*(I67="Yes")+Settings!$C$8*(M67="No"))</f>
        <v/>
      </c>
      <c r="S67" s="69">
        <f>IF(R67="","",IF(R67&gt;=Settings!$C$13,"สูง",IF(R67&gt;=Settings!$C$12,"ปานกลาง","ต่ำ")))</f>
        <v/>
      </c>
      <c r="T67" s="70">
        <f>IF(OR(S67="",P67=""),"",IF(AND(S67="สูง",P67="ตัด D2"),"⚠ เสี่ยงสูงแต่เสนอตัด D2 — ควรทบทวน",IF(AND(S67="ต่ำ",P67="คง D2"),"ℹ เสี่ยงต่ำแต่เสนอคง D2 — อาจควบคุมเกินจำเป็น",IF(AND(P67="เปลี่ยนเป็นหน่วยงานผู้เชี่ยวชาญ",M67="No"),"⚠ เสนอโอน แต่ตอบว่ายังไม่มีผู้เชี่ยวชาญตรวจ",IF(AND(P67="เปลี่ยนเป็นหน่วยงานผู้เชี่ยวชาญ",Q67=""),"⚠ ยังไม่ระบุหน่วยงานผู้เชี่ยวชาญ","")))))</f>
        <v/>
      </c>
      <c r="U67" s="69">
        <f>IF(AND(P67="ตัด D2",ISNUMBER(D67),ISNUMBER(F67)),D67*F67,"")</f>
        <v/>
      </c>
      <c r="V67" s="73" t="n"/>
      <c r="W67" s="70">
        <f>IF(C67="","",IF(AND(ISNUMBER(D67),D67=0),"✔ ไม่เคยทำ (ข้าม)",IF(COUNTA(D67:P67)=0,"○ ยังไม่เริ่ม",IF(IF(D67="","จำนวน/ปี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","")="","✔ ครบ","⏳ ขาด: "&amp;TRIM(IF(D67="","จำนวน/ปี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",""))))))</f>
        <v/>
      </c>
    </row>
    <row r="68">
      <c r="A68" s="72" t="n"/>
      <c r="B68" s="73" t="n"/>
      <c r="C68" s="73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69">
        <f>IF(COUNTA(G68:I68,M68)&lt;4,"",Settings!$C$5*(G68="Yes")+Settings!$C$6*(H68="Yes")+Settings!$C$7*(I68="Yes")+Settings!$C$8*(M68="No"))</f>
        <v/>
      </c>
      <c r="S68" s="69">
        <f>IF(R68="","",IF(R68&gt;=Settings!$C$13,"สูง",IF(R68&gt;=Settings!$C$12,"ปานกลาง","ต่ำ")))</f>
        <v/>
      </c>
      <c r="T68" s="70">
        <f>IF(OR(S68="",P68=""),"",IF(AND(S68="สูง",P68="ตัด D2"),"⚠ เสี่ยงสูงแต่เสนอตัด D2 — ควรทบทวน",IF(AND(S68="ต่ำ",P68="คง D2"),"ℹ เสี่ยงต่ำแต่เสนอคง D2 — อาจควบคุมเกินจำเป็น",IF(AND(P68="เปลี่ยนเป็นหน่วยงานผู้เชี่ยวชาญ",M68="No"),"⚠ เสนอโอน แต่ตอบว่ายังไม่มีผู้เชี่ยวชาญตรวจ",IF(AND(P68="เปลี่ยนเป็นหน่วยงานผู้เชี่ยวชาญ",Q68=""),"⚠ ยังไม่ระบุหน่วยงานผู้เชี่ยวชาญ","")))))</f>
        <v/>
      </c>
      <c r="U68" s="69">
        <f>IF(AND(P68="ตัด D2",ISNUMBER(D68),ISNUMBER(F68)),D68*F68,"")</f>
        <v/>
      </c>
      <c r="V68" s="73" t="n"/>
      <c r="W68" s="70">
        <f>IF(C68="","",IF(AND(ISNUMBER(D68),D68=0),"✔ ไม่เคยทำ (ข้าม)",IF(COUNTA(D68:P68)=0,"○ ยังไม่เริ่ม",IF(IF(D68="","จำนวน/ปี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","")="","✔ ครบ","⏳ ขาด: "&amp;TRIM(IF(D68="","จำนวน/ปี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",""))))))</f>
        <v/>
      </c>
    </row>
    <row r="69">
      <c r="A69" s="72" t="n"/>
      <c r="B69" s="73" t="n"/>
      <c r="C69" s="73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69">
        <f>IF(COUNTA(G69:I69,M69)&lt;4,"",Settings!$C$5*(G69="Yes")+Settings!$C$6*(H69="Yes")+Settings!$C$7*(I69="Yes")+Settings!$C$8*(M69="No"))</f>
        <v/>
      </c>
      <c r="S69" s="69">
        <f>IF(R69="","",IF(R69&gt;=Settings!$C$13,"สูง",IF(R69&gt;=Settings!$C$12,"ปานกลาง","ต่ำ")))</f>
        <v/>
      </c>
      <c r="T69" s="70">
        <f>IF(OR(S69="",P69=""),"",IF(AND(S69="สูง",P69="ตัด D2"),"⚠ เสี่ยงสูงแต่เสนอตัด D2 — ควรทบทวน",IF(AND(S69="ต่ำ",P69="คง D2"),"ℹ เสี่ยงต่ำแต่เสนอคง D2 — อาจควบคุมเกินจำเป็น",IF(AND(P69="เปลี่ยนเป็นหน่วยงานผู้เชี่ยวชาญ",M69="No"),"⚠ เสนอโอน แต่ตอบว่ายังไม่มีผู้เชี่ยวชาญตรวจ",IF(AND(P69="เปลี่ยนเป็นหน่วยงานผู้เชี่ยวชาญ",Q69=""),"⚠ ยังไม่ระบุหน่วยงานผู้เชี่ยวชาญ","")))))</f>
        <v/>
      </c>
      <c r="U69" s="69">
        <f>IF(AND(P69="ตัด D2",ISNUMBER(D69),ISNUMBER(F69)),D69*F69,"")</f>
        <v/>
      </c>
      <c r="V69" s="73" t="n"/>
      <c r="W69" s="70">
        <f>IF(C69="","",IF(AND(ISNUMBER(D69),D69=0),"✔ ไม่เคยทำ (ข้าม)",IF(COUNTA(D69:P69)=0,"○ ยังไม่เริ่ม",IF(IF(D69="","จำนวน/ปี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","")="","✔ ครบ","⏳ ขาด: "&amp;TRIM(IF(D69="","จำนวน/ปี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",""))))))</f>
        <v/>
      </c>
    </row>
    <row r="70">
      <c r="A70" s="72" t="n"/>
      <c r="B70" s="73" t="n"/>
      <c r="C70" s="73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69">
        <f>IF(COUNTA(G70:I70,M70)&lt;4,"",Settings!$C$5*(G70="Yes")+Settings!$C$6*(H70="Yes")+Settings!$C$7*(I70="Yes")+Settings!$C$8*(M70="No"))</f>
        <v/>
      </c>
      <c r="S70" s="69">
        <f>IF(R70="","",IF(R70&gt;=Settings!$C$13,"สูง",IF(R70&gt;=Settings!$C$12,"ปานกลาง","ต่ำ")))</f>
        <v/>
      </c>
      <c r="T70" s="70">
        <f>IF(OR(S70="",P70=""),"",IF(AND(S70="สูง",P70="ตัด D2"),"⚠ เสี่ยงสูงแต่เสนอตัด D2 — ควรทบทวน",IF(AND(S70="ต่ำ",P70="คง D2"),"ℹ เสี่ยงต่ำแต่เสนอคง D2 — อาจควบคุมเกินจำเป็น",IF(AND(P70="เปลี่ยนเป็นหน่วยงานผู้เชี่ยวชาญ",M70="No"),"⚠ เสนอโอน แต่ตอบว่ายังไม่มีผู้เชี่ยวชาญตรวจ",IF(AND(P70="เปลี่ยนเป็นหน่วยงานผู้เชี่ยวชาญ",Q70=""),"⚠ ยังไม่ระบุหน่วยงานผู้เชี่ยวชาญ","")))))</f>
        <v/>
      </c>
      <c r="U70" s="69">
        <f>IF(AND(P70="ตัด D2",ISNUMBER(D70),ISNUMBER(F70)),D70*F70,"")</f>
        <v/>
      </c>
      <c r="V70" s="73" t="n"/>
      <c r="W70" s="70">
        <f>IF(C70="","",IF(AND(ISNUMBER(D70),D70=0),"✔ ไม่เคยทำ (ข้าม)",IF(COUNTA(D70:P70)=0,"○ ยังไม่เริ่ม",IF(IF(D70="","จำนวน/ปี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","")="","✔ ครบ","⏳ ขาด: "&amp;TRIM(IF(D70="","จำนวน/ปี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",""))))))</f>
        <v/>
      </c>
    </row>
    <row r="71">
      <c r="A71" s="72" t="n"/>
      <c r="B71" s="73" t="n"/>
      <c r="C71" s="73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69">
        <f>IF(COUNTA(G71:I71,M71)&lt;4,"",Settings!$C$5*(G71="Yes")+Settings!$C$6*(H71="Yes")+Settings!$C$7*(I71="Yes")+Settings!$C$8*(M71="No"))</f>
        <v/>
      </c>
      <c r="S71" s="69">
        <f>IF(R71="","",IF(R71&gt;=Settings!$C$13,"สูง",IF(R71&gt;=Settings!$C$12,"ปานกลาง","ต่ำ")))</f>
        <v/>
      </c>
      <c r="T71" s="70">
        <f>IF(OR(S71="",P71=""),"",IF(AND(S71="สูง",P71="ตัด D2"),"⚠ เสี่ยงสูงแต่เสนอตัด D2 — ควรทบทวน",IF(AND(S71="ต่ำ",P71="คง D2"),"ℹ เสี่ยงต่ำแต่เสนอคง D2 — อาจควบคุมเกินจำเป็น",IF(AND(P71="เปลี่ยนเป็นหน่วยงานผู้เชี่ยวชาญ",M71="No"),"⚠ เสนอโอน แต่ตอบว่ายังไม่มีผู้เชี่ยวชาญตรวจ",IF(AND(P71="เปลี่ยนเป็นหน่วยงานผู้เชี่ยวชาญ",Q71=""),"⚠ ยังไม่ระบุหน่วยงานผู้เชี่ยวชาญ","")))))</f>
        <v/>
      </c>
      <c r="U71" s="69">
        <f>IF(AND(P71="ตัด D2",ISNUMBER(D71),ISNUMBER(F71)),D71*F71,"")</f>
        <v/>
      </c>
      <c r="V71" s="73" t="n"/>
      <c r="W71" s="70">
        <f>IF(C71="","",IF(AND(ISNUMBER(D71),D71=0),"✔ ไม่เคยทำ (ข้าม)",IF(COUNTA(D71:P71)=0,"○ ยังไม่เริ่ม",IF(IF(D71="","จำนวน/ปี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","")="","✔ ครบ","⏳ ขาด: "&amp;TRIM(IF(D71="","จำนวน/ปี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",""))))))</f>
        <v/>
      </c>
    </row>
    <row r="72">
      <c r="A72" s="72" t="n"/>
      <c r="B72" s="73" t="n"/>
      <c r="C72" s="73" t="n"/>
      <c r="D72" s="72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69">
        <f>IF(COUNTA(G72:I72,M72)&lt;4,"",Settings!$C$5*(G72="Yes")+Settings!$C$6*(H72="Yes")+Settings!$C$7*(I72="Yes")+Settings!$C$8*(M72="No"))</f>
        <v/>
      </c>
      <c r="S72" s="69">
        <f>IF(R72="","",IF(R72&gt;=Settings!$C$13,"สูง",IF(R72&gt;=Settings!$C$12,"ปานกลาง","ต่ำ")))</f>
        <v/>
      </c>
      <c r="T72" s="70">
        <f>IF(OR(S72="",P72=""),"",IF(AND(S72="สูง",P72="ตัด D2"),"⚠ เสี่ยงสูงแต่เสนอตัด D2 — ควรทบทวน",IF(AND(S72="ต่ำ",P72="คง D2"),"ℹ เสี่ยงต่ำแต่เสนอคง D2 — อาจควบคุมเกินจำเป็น",IF(AND(P72="เปลี่ยนเป็นหน่วยงานผู้เชี่ยวชาญ",M72="No"),"⚠ เสนอโอน แต่ตอบว่ายังไม่มีผู้เชี่ยวชาญตรวจ",IF(AND(P72="เปลี่ยนเป็นหน่วยงานผู้เชี่ยวชาญ",Q72=""),"⚠ ยังไม่ระบุหน่วยงานผู้เชี่ยวชาญ","")))))</f>
        <v/>
      </c>
      <c r="U72" s="69">
        <f>IF(AND(P72="ตัด D2",ISNUMBER(D72),ISNUMBER(F72)),D72*F72,"")</f>
        <v/>
      </c>
      <c r="V72" s="73" t="n"/>
      <c r="W72" s="70">
        <f>IF(C72="","",IF(AND(ISNUMBER(D72),D72=0),"✔ ไม่เคยทำ (ข้าม)",IF(COUNTA(D72:P72)=0,"○ ยังไม่เริ่ม",IF(IF(D72="","จำนวน/ปี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","")="","✔ ครบ","⏳ ขาด: "&amp;TRIM(IF(D72="","จำนวน/ปี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",""))))))</f>
        <v/>
      </c>
    </row>
    <row r="73">
      <c r="A73" s="72" t="n"/>
      <c r="B73" s="73" t="n"/>
      <c r="C73" s="73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69">
        <f>IF(COUNTA(G73:I73,M73)&lt;4,"",Settings!$C$5*(G73="Yes")+Settings!$C$6*(H73="Yes")+Settings!$C$7*(I73="Yes")+Settings!$C$8*(M73="No"))</f>
        <v/>
      </c>
      <c r="S73" s="69">
        <f>IF(R73="","",IF(R73&gt;=Settings!$C$13,"สูง",IF(R73&gt;=Settings!$C$12,"ปานกลาง","ต่ำ")))</f>
        <v/>
      </c>
      <c r="T73" s="70">
        <f>IF(OR(S73="",P73=""),"",IF(AND(S73="สูง",P73="ตัด D2"),"⚠ เสี่ยงสูงแต่เสนอตัด D2 — ควรทบทวน",IF(AND(S73="ต่ำ",P73="คง D2"),"ℹ เสี่ยงต่ำแต่เสนอคง D2 — อาจควบคุมเกินจำเป็น",IF(AND(P73="เปลี่ยนเป็นหน่วยงานผู้เชี่ยวชาญ",M73="No"),"⚠ เสนอโอน แต่ตอบว่ายังไม่มีผู้เชี่ยวชาญตรวจ",IF(AND(P73="เปลี่ยนเป็นหน่วยงานผู้เชี่ยวชาญ",Q73=""),"⚠ ยังไม่ระบุหน่วยงานผู้เชี่ยวชาญ","")))))</f>
        <v/>
      </c>
      <c r="U73" s="69">
        <f>IF(AND(P73="ตัด D2",ISNUMBER(D73),ISNUMBER(F73)),D73*F73,"")</f>
        <v/>
      </c>
      <c r="V73" s="73" t="n"/>
      <c r="W73" s="70">
        <f>IF(C73="","",IF(AND(ISNUMBER(D73),D73=0),"✔ ไม่เคยทำ (ข้าม)",IF(COUNTA(D73:P73)=0,"○ ยังไม่เริ่ม",IF(IF(D73="","จำนวน/ปี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","")="","✔ ครบ","⏳ ขาด: "&amp;TRIM(IF(D73="","จำนวน/ปี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",""))))))</f>
        <v/>
      </c>
    </row>
    <row r="74">
      <c r="A74" s="72" t="n"/>
      <c r="B74" s="73" t="n"/>
      <c r="C74" s="73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69">
        <f>IF(COUNTA(G74:I74,M74)&lt;4,"",Settings!$C$5*(G74="Yes")+Settings!$C$6*(H74="Yes")+Settings!$C$7*(I74="Yes")+Settings!$C$8*(M74="No"))</f>
        <v/>
      </c>
      <c r="S74" s="69">
        <f>IF(R74="","",IF(R74&gt;=Settings!$C$13,"สูง",IF(R74&gt;=Settings!$C$12,"ปานกลาง","ต่ำ")))</f>
        <v/>
      </c>
      <c r="T74" s="70">
        <f>IF(OR(S74="",P74=""),"",IF(AND(S74="สูง",P74="ตัด D2"),"⚠ เสี่ยงสูงแต่เสนอตัด D2 — ควรทบทวน",IF(AND(S74="ต่ำ",P74="คง D2"),"ℹ เสี่ยงต่ำแต่เสนอคง D2 — อาจควบคุมเกินจำเป็น",IF(AND(P74="เปลี่ยนเป็นหน่วยงานผู้เชี่ยวชาญ",M74="No"),"⚠ เสนอโอน แต่ตอบว่ายังไม่มีผู้เชี่ยวชาญตรวจ",IF(AND(P74="เปลี่ยนเป็นหน่วยงานผู้เชี่ยวชาญ",Q74=""),"⚠ ยังไม่ระบุหน่วยงานผู้เชี่ยวชาญ","")))))</f>
        <v/>
      </c>
      <c r="U74" s="69">
        <f>IF(AND(P74="ตัด D2",ISNUMBER(D74),ISNUMBER(F74)),D74*F74,"")</f>
        <v/>
      </c>
      <c r="V74" s="73" t="n"/>
      <c r="W74" s="70">
        <f>IF(C74="","",IF(AND(ISNUMBER(D74),D74=0),"✔ ไม่เคยทำ (ข้าม)",IF(COUNTA(D74:P74)=0,"○ ยังไม่เริ่ม",IF(IF(D74="","จำนวน/ปี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","")="","✔ ครบ","⏳ ขาด: "&amp;TRIM(IF(D74="","จำนวน/ปี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",""))))))</f>
        <v/>
      </c>
    </row>
    <row r="75">
      <c r="A75" s="72" t="n"/>
      <c r="B75" s="73" t="n"/>
      <c r="C75" s="73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69">
        <f>IF(COUNTA(G75:I75,M75)&lt;4,"",Settings!$C$5*(G75="Yes")+Settings!$C$6*(H75="Yes")+Settings!$C$7*(I75="Yes")+Settings!$C$8*(M75="No"))</f>
        <v/>
      </c>
      <c r="S75" s="69">
        <f>IF(R75="","",IF(R75&gt;=Settings!$C$13,"สูง",IF(R75&gt;=Settings!$C$12,"ปานกลาง","ต่ำ")))</f>
        <v/>
      </c>
      <c r="T75" s="70">
        <f>IF(OR(S75="",P75=""),"",IF(AND(S75="สูง",P75="ตัด D2"),"⚠ เสี่ยงสูงแต่เสนอตัด D2 — ควรทบทวน",IF(AND(S75="ต่ำ",P75="คง D2"),"ℹ เสี่ยงต่ำแต่เสนอคง D2 — อาจควบคุมเกินจำเป็น",IF(AND(P75="เปลี่ยนเป็นหน่วยงานผู้เชี่ยวชาญ",M75="No"),"⚠ เสนอโอน แต่ตอบว่ายังไม่มีผู้เชี่ยวชาญตรวจ",IF(AND(P75="เปลี่ยนเป็นหน่วยงานผู้เชี่ยวชาญ",Q75=""),"⚠ ยังไม่ระบุหน่วยงานผู้เชี่ยวชาญ","")))))</f>
        <v/>
      </c>
      <c r="U75" s="69">
        <f>IF(AND(P75="ตัด D2",ISNUMBER(D75),ISNUMBER(F75)),D75*F75,"")</f>
        <v/>
      </c>
      <c r="V75" s="73" t="n"/>
      <c r="W75" s="70">
        <f>IF(C75="","",IF(AND(ISNUMBER(D75),D75=0),"✔ ไม่เคยทำ (ข้าม)",IF(COUNTA(D75:P75)=0,"○ ยังไม่เริ่ม",IF(IF(D75="","จำนวน/ปี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","")="","✔ ครบ","⏳ ขาด: "&amp;TRIM(IF(D75="","จำนวน/ปี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",""))))))</f>
        <v/>
      </c>
    </row>
    <row r="76">
      <c r="A76" s="72" t="n"/>
      <c r="B76" s="73" t="n"/>
      <c r="C76" s="73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69">
        <f>IF(COUNTA(G76:I76,M76)&lt;4,"",Settings!$C$5*(G76="Yes")+Settings!$C$6*(H76="Yes")+Settings!$C$7*(I76="Yes")+Settings!$C$8*(M76="No"))</f>
        <v/>
      </c>
      <c r="S76" s="69">
        <f>IF(R76="","",IF(R76&gt;=Settings!$C$13,"สูง",IF(R76&gt;=Settings!$C$12,"ปานกลาง","ต่ำ")))</f>
        <v/>
      </c>
      <c r="T76" s="70">
        <f>IF(OR(S76="",P76=""),"",IF(AND(S76="สูง",P76="ตัด D2"),"⚠ เสี่ยงสูงแต่เสนอตัด D2 — ควรทบทวน",IF(AND(S76="ต่ำ",P76="คง D2"),"ℹ เสี่ยงต่ำแต่เสนอคง D2 — อาจควบคุมเกินจำเป็น",IF(AND(P76="เปลี่ยนเป็นหน่วยงานผู้เชี่ยวชาญ",M76="No"),"⚠ เสนอโอน แต่ตอบว่ายังไม่มีผู้เชี่ยวชาญตรวจ",IF(AND(P76="เปลี่ยนเป็นหน่วยงานผู้เชี่ยวชาญ",Q76=""),"⚠ ยังไม่ระบุหน่วยงานผู้เชี่ยวชาญ","")))))</f>
        <v/>
      </c>
      <c r="U76" s="69">
        <f>IF(AND(P76="ตัด D2",ISNUMBER(D76),ISNUMBER(F76)),D76*F76,"")</f>
        <v/>
      </c>
      <c r="V76" s="73" t="n"/>
      <c r="W76" s="70">
        <f>IF(C76="","",IF(AND(ISNUMBER(D76),D76=0),"✔ ไม่เคยทำ (ข้าม)",IF(COUNTA(D76:P76)=0,"○ ยังไม่เริ่ม",IF(IF(D76="","จำนวน/ปี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","")="","✔ ครบ","⏳ ขาด: "&amp;TRIM(IF(D76="","จำนวน/ปี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",""))))))</f>
        <v/>
      </c>
    </row>
    <row r="77">
      <c r="A77" s="72" t="n"/>
      <c r="B77" s="73" t="n"/>
      <c r="C77" s="73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69">
        <f>IF(COUNTA(G77:I77,M77)&lt;4,"",Settings!$C$5*(G77="Yes")+Settings!$C$6*(H77="Yes")+Settings!$C$7*(I77="Yes")+Settings!$C$8*(M77="No"))</f>
        <v/>
      </c>
      <c r="S77" s="69">
        <f>IF(R77="","",IF(R77&gt;=Settings!$C$13,"สูง",IF(R77&gt;=Settings!$C$12,"ปานกลาง","ต่ำ")))</f>
        <v/>
      </c>
      <c r="T77" s="70">
        <f>IF(OR(S77="",P77=""),"",IF(AND(S77="สูง",P77="ตัด D2"),"⚠ เสี่ยงสูงแต่เสนอตัด D2 — ควรทบทวน",IF(AND(S77="ต่ำ",P77="คง D2"),"ℹ เสี่ยงต่ำแต่เสนอคง D2 — อาจควบคุมเกินจำเป็น",IF(AND(P77="เปลี่ยนเป็นหน่วยงานผู้เชี่ยวชาญ",M77="No"),"⚠ เสนอโอน แต่ตอบว่ายังไม่มีผู้เชี่ยวชาญตรวจ",IF(AND(P77="เปลี่ยนเป็นหน่วยงานผู้เชี่ยวชาญ",Q77=""),"⚠ ยังไม่ระบุหน่วยงานผู้เชี่ยวชาญ","")))))</f>
        <v/>
      </c>
      <c r="U77" s="69">
        <f>IF(AND(P77="ตัด D2",ISNUMBER(D77),ISNUMBER(F77)),D77*F77,"")</f>
        <v/>
      </c>
      <c r="V77" s="73" t="n"/>
      <c r="W77" s="70">
        <f>IF(C77="","",IF(AND(ISNUMBER(D77),D77=0),"✔ ไม่เคยทำ (ข้าม)",IF(COUNTA(D77:P77)=0,"○ ยังไม่เริ่ม",IF(IF(D77="","จำนวน/ปี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","")="","✔ ครบ","⏳ ขาด: "&amp;TRIM(IF(D77="","จำนวน/ปี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",""))))))</f>
        <v/>
      </c>
    </row>
    <row r="78">
      <c r="A78" s="72" t="n"/>
      <c r="B78" s="73" t="n"/>
      <c r="C78" s="73" t="n"/>
      <c r="D78" s="72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  <c r="N78" s="72" t="n"/>
      <c r="O78" s="72" t="n"/>
      <c r="P78" s="72" t="n"/>
      <c r="Q78" s="72" t="n"/>
      <c r="R78" s="69">
        <f>IF(COUNTA(G78:I78,M78)&lt;4,"",Settings!$C$5*(G78="Yes")+Settings!$C$6*(H78="Yes")+Settings!$C$7*(I78="Yes")+Settings!$C$8*(M78="No"))</f>
        <v/>
      </c>
      <c r="S78" s="69">
        <f>IF(R78="","",IF(R78&gt;=Settings!$C$13,"สูง",IF(R78&gt;=Settings!$C$12,"ปานกลาง","ต่ำ")))</f>
        <v/>
      </c>
      <c r="T78" s="70">
        <f>IF(OR(S78="",P78=""),"",IF(AND(S78="สูง",P78="ตัด D2"),"⚠ เสี่ยงสูงแต่เสนอตัด D2 — ควรทบทวน",IF(AND(S78="ต่ำ",P78="คง D2"),"ℹ เสี่ยงต่ำแต่เสนอคง D2 — อาจควบคุมเกินจำเป็น",IF(AND(P78="เปลี่ยนเป็นหน่วยงานผู้เชี่ยวชาญ",M78="No"),"⚠ เสนอโอน แต่ตอบว่ายังไม่มีผู้เชี่ยวชาญตรวจ",IF(AND(P78="เปลี่ยนเป็นหน่วยงานผู้เชี่ยวชาญ",Q78=""),"⚠ ยังไม่ระบุหน่วยงานผู้เชี่ยวชาญ","")))))</f>
        <v/>
      </c>
      <c r="U78" s="69">
        <f>IF(AND(P78="ตัด D2",ISNUMBER(D78),ISNUMBER(F78)),D78*F78,"")</f>
        <v/>
      </c>
      <c r="V78" s="73" t="n"/>
      <c r="W78" s="70">
        <f>IF(C78="","",IF(AND(ISNUMBER(D78),D78=0),"✔ ไม่เคยทำ (ข้าม)",IF(COUNTA(D78:P78)=0,"○ ยังไม่เริ่ม",IF(IF(D78="","จำนวน/ปี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","")="","✔ ครบ","⏳ ขาด: "&amp;TRIM(IF(D78="","จำนวน/ปี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",""))))))</f>
        <v/>
      </c>
    </row>
    <row r="79">
      <c r="A79" s="72" t="n"/>
      <c r="B79" s="73" t="n"/>
      <c r="C79" s="73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69">
        <f>IF(COUNTA(G79:I79,M79)&lt;4,"",Settings!$C$5*(G79="Yes")+Settings!$C$6*(H79="Yes")+Settings!$C$7*(I79="Yes")+Settings!$C$8*(M79="No"))</f>
        <v/>
      </c>
      <c r="S79" s="69">
        <f>IF(R79="","",IF(R79&gt;=Settings!$C$13,"สูง",IF(R79&gt;=Settings!$C$12,"ปานกลาง","ต่ำ")))</f>
        <v/>
      </c>
      <c r="T79" s="70">
        <f>IF(OR(S79="",P79=""),"",IF(AND(S79="สูง",P79="ตัด D2"),"⚠ เสี่ยงสูงแต่เสนอตัด D2 — ควรทบทวน",IF(AND(S79="ต่ำ",P79="คง D2"),"ℹ เสี่ยงต่ำแต่เสนอคง D2 — อาจควบคุมเกินจำเป็น",IF(AND(P79="เปลี่ยนเป็นหน่วยงานผู้เชี่ยวชาญ",M79="No"),"⚠ เสนอโอน แต่ตอบว่ายังไม่มีผู้เชี่ยวชาญตรวจ",IF(AND(P79="เปลี่ยนเป็นหน่วยงานผู้เชี่ยวชาญ",Q79=""),"⚠ ยังไม่ระบุหน่วยงานผู้เชี่ยวชาญ","")))))</f>
        <v/>
      </c>
      <c r="U79" s="69">
        <f>IF(AND(P79="ตัด D2",ISNUMBER(D79),ISNUMBER(F79)),D79*F79,"")</f>
        <v/>
      </c>
      <c r="V79" s="73" t="n"/>
      <c r="W79" s="70">
        <f>IF(C79="","",IF(AND(ISNUMBER(D79),D79=0),"✔ ไม่เคยทำ (ข้าม)",IF(COUNTA(D79:P79)=0,"○ ยังไม่เริ่ม",IF(IF(D79="","จำนวน/ปี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","")="","✔ ครบ","⏳ ขาด: "&amp;TRIM(IF(D79="","จำนวน/ปี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",""))))))</f>
        <v/>
      </c>
    </row>
    <row r="80">
      <c r="A80" s="72" t="n"/>
      <c r="B80" s="73" t="n"/>
      <c r="C80" s="73" t="n"/>
      <c r="D80" s="72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69">
        <f>IF(COUNTA(G80:I80,M80)&lt;4,"",Settings!$C$5*(G80="Yes")+Settings!$C$6*(H80="Yes")+Settings!$C$7*(I80="Yes")+Settings!$C$8*(M80="No"))</f>
        <v/>
      </c>
      <c r="S80" s="69">
        <f>IF(R80="","",IF(R80&gt;=Settings!$C$13,"สูง",IF(R80&gt;=Settings!$C$12,"ปานกลาง","ต่ำ")))</f>
        <v/>
      </c>
      <c r="T80" s="70">
        <f>IF(OR(S80="",P80=""),"",IF(AND(S80="สูง",P80="ตัด D2"),"⚠ เสี่ยงสูงแต่เสนอตัด D2 — ควรทบทวน",IF(AND(S80="ต่ำ",P80="คง D2"),"ℹ เสี่ยงต่ำแต่เสนอคง D2 — อาจควบคุมเกินจำเป็น",IF(AND(P80="เปลี่ยนเป็นหน่วยงานผู้เชี่ยวชาญ",M80="No"),"⚠ เสนอโอน แต่ตอบว่ายังไม่มีผู้เชี่ยวชาญตรวจ",IF(AND(P80="เปลี่ยนเป็นหน่วยงานผู้เชี่ยวชาญ",Q80=""),"⚠ ยังไม่ระบุหน่วยงานผู้เชี่ยวชาญ","")))))</f>
        <v/>
      </c>
      <c r="U80" s="69">
        <f>IF(AND(P80="ตัด D2",ISNUMBER(D80),ISNUMBER(F80)),D80*F80,"")</f>
        <v/>
      </c>
      <c r="V80" s="73" t="n"/>
      <c r="W80" s="70">
        <f>IF(C80="","",IF(AND(ISNUMBER(D80),D80=0),"✔ ไม่เคยทำ (ข้าม)",IF(COUNTA(D80:P80)=0,"○ ยังไม่เริ่ม",IF(IF(D80="","จำนวน/ปี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","")="","✔ ครบ","⏳ ขาด: "&amp;TRIM(IF(D80="","จำนวน/ปี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",""))))))</f>
        <v/>
      </c>
    </row>
    <row r="81">
      <c r="A81" s="72" t="n"/>
      <c r="B81" s="73" t="n"/>
      <c r="C81" s="73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69">
        <f>IF(COUNTA(G81:I81,M81)&lt;4,"",Settings!$C$5*(G81="Yes")+Settings!$C$6*(H81="Yes")+Settings!$C$7*(I81="Yes")+Settings!$C$8*(M81="No"))</f>
        <v/>
      </c>
      <c r="S81" s="69">
        <f>IF(R81="","",IF(R81&gt;=Settings!$C$13,"สูง",IF(R81&gt;=Settings!$C$12,"ปานกลาง","ต่ำ")))</f>
        <v/>
      </c>
      <c r="T81" s="70">
        <f>IF(OR(S81="",P81=""),"",IF(AND(S81="สูง",P81="ตัด D2"),"⚠ เสี่ยงสูงแต่เสนอตัด D2 — ควรทบทวน",IF(AND(S81="ต่ำ",P81="คง D2"),"ℹ เสี่ยงต่ำแต่เสนอคง D2 — อาจควบคุมเกินจำเป็น",IF(AND(P81="เปลี่ยนเป็นหน่วยงานผู้เชี่ยวชาญ",M81="No"),"⚠ เสนอโอน แต่ตอบว่ายังไม่มีผู้เชี่ยวชาญตรวจ",IF(AND(P81="เปลี่ยนเป็นหน่วยงานผู้เชี่ยวชาญ",Q81=""),"⚠ ยังไม่ระบุหน่วยงานผู้เชี่ยวชาญ","")))))</f>
        <v/>
      </c>
      <c r="U81" s="69">
        <f>IF(AND(P81="ตัด D2",ISNUMBER(D81),ISNUMBER(F81)),D81*F81,"")</f>
        <v/>
      </c>
      <c r="V81" s="73" t="n"/>
      <c r="W81" s="70">
        <f>IF(C81="","",IF(AND(ISNUMBER(D81),D81=0),"✔ ไม่เคยทำ (ข้าม)",IF(COUNTA(D81:P81)=0,"○ ยังไม่เริ่ม",IF(IF(D81="","จำนวน/ปี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","")="","✔ ครบ","⏳ ขาด: "&amp;TRIM(IF(D81="","จำนวน/ปี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",""))))))</f>
        <v/>
      </c>
    </row>
    <row r="82">
      <c r="A82" s="72" t="n"/>
      <c r="B82" s="73" t="n"/>
      <c r="C82" s="73" t="n"/>
      <c r="D82" s="72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69">
        <f>IF(COUNTA(G82:I82,M82)&lt;4,"",Settings!$C$5*(G82="Yes")+Settings!$C$6*(H82="Yes")+Settings!$C$7*(I82="Yes")+Settings!$C$8*(M82="No"))</f>
        <v/>
      </c>
      <c r="S82" s="69">
        <f>IF(R82="","",IF(R82&gt;=Settings!$C$13,"สูง",IF(R82&gt;=Settings!$C$12,"ปานกลาง","ต่ำ")))</f>
        <v/>
      </c>
      <c r="T82" s="70">
        <f>IF(OR(S82="",P82=""),"",IF(AND(S82="สูง",P82="ตัด D2"),"⚠ เสี่ยงสูงแต่เสนอตัด D2 — ควรทบทวน",IF(AND(S82="ต่ำ",P82="คง D2"),"ℹ เสี่ยงต่ำแต่เสนอคง D2 — อาจควบคุมเกินจำเป็น",IF(AND(P82="เปลี่ยนเป็นหน่วยงานผู้เชี่ยวชาญ",M82="No"),"⚠ เสนอโอน แต่ตอบว่ายังไม่มีผู้เชี่ยวชาญตรวจ",IF(AND(P82="เปลี่ยนเป็นหน่วยงานผู้เชี่ยวชาญ",Q82=""),"⚠ ยังไม่ระบุหน่วยงานผู้เชี่ยวชาญ","")))))</f>
        <v/>
      </c>
      <c r="U82" s="69">
        <f>IF(AND(P82="ตัด D2",ISNUMBER(D82),ISNUMBER(F82)),D82*F82,"")</f>
        <v/>
      </c>
      <c r="V82" s="73" t="n"/>
      <c r="W82" s="70">
        <f>IF(C82="","",IF(AND(ISNUMBER(D82),D82=0),"✔ ไม่เคยทำ (ข้าม)",IF(COUNTA(D82:P82)=0,"○ ยังไม่เริ่ม",IF(IF(D82="","จำนวน/ปี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","")="","✔ ครบ","⏳ ขาด: "&amp;TRIM(IF(D82="","จำนวน/ปี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",""))))))</f>
        <v/>
      </c>
    </row>
    <row r="83">
      <c r="A83" s="72" t="n"/>
      <c r="B83" s="73" t="n"/>
      <c r="C83" s="73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69">
        <f>IF(COUNTA(G83:I83,M83)&lt;4,"",Settings!$C$5*(G83="Yes")+Settings!$C$6*(H83="Yes")+Settings!$C$7*(I83="Yes")+Settings!$C$8*(M83="No"))</f>
        <v/>
      </c>
      <c r="S83" s="69">
        <f>IF(R83="","",IF(R83&gt;=Settings!$C$13,"สูง",IF(R83&gt;=Settings!$C$12,"ปานกลาง","ต่ำ")))</f>
        <v/>
      </c>
      <c r="T83" s="70">
        <f>IF(OR(S83="",P83=""),"",IF(AND(S83="สูง",P83="ตัด D2"),"⚠ เสี่ยงสูงแต่เสนอตัด D2 — ควรทบทวน",IF(AND(S83="ต่ำ",P83="คง D2"),"ℹ เสี่ยงต่ำแต่เสนอคง D2 — อาจควบคุมเกินจำเป็น",IF(AND(P83="เปลี่ยนเป็นหน่วยงานผู้เชี่ยวชาญ",M83="No"),"⚠ เสนอโอน แต่ตอบว่ายังไม่มีผู้เชี่ยวชาญตรวจ",IF(AND(P83="เปลี่ยนเป็นหน่วยงานผู้เชี่ยวชาญ",Q83=""),"⚠ ยังไม่ระบุหน่วยงานผู้เชี่ยวชาญ","")))))</f>
        <v/>
      </c>
      <c r="U83" s="69">
        <f>IF(AND(P83="ตัด D2",ISNUMBER(D83),ISNUMBER(F83)),D83*F83,"")</f>
        <v/>
      </c>
      <c r="V83" s="73" t="n"/>
      <c r="W83" s="70">
        <f>IF(C83="","",IF(AND(ISNUMBER(D83),D83=0),"✔ ไม่เคยทำ (ข้าม)",IF(COUNTA(D83:P83)=0,"○ ยังไม่เริ่ม",IF(IF(D83="","จำนวน/ปี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","")="","✔ ครบ","⏳ ขาด: "&amp;TRIM(IF(D83="","จำนวน/ปี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",""))))))</f>
        <v/>
      </c>
    </row>
    <row r="84">
      <c r="A84" s="72" t="n"/>
      <c r="B84" s="73" t="n"/>
      <c r="C84" s="73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69">
        <f>IF(COUNTA(G84:I84,M84)&lt;4,"",Settings!$C$5*(G84="Yes")+Settings!$C$6*(H84="Yes")+Settings!$C$7*(I84="Yes")+Settings!$C$8*(M84="No"))</f>
        <v/>
      </c>
      <c r="S84" s="69">
        <f>IF(R84="","",IF(R84&gt;=Settings!$C$13,"สูง",IF(R84&gt;=Settings!$C$12,"ปานกลาง","ต่ำ")))</f>
        <v/>
      </c>
      <c r="T84" s="70">
        <f>IF(OR(S84="",P84=""),"",IF(AND(S84="สูง",P84="ตัด D2"),"⚠ เสี่ยงสูงแต่เสนอตัด D2 — ควรทบทวน",IF(AND(S84="ต่ำ",P84="คง D2"),"ℹ เสี่ยงต่ำแต่เสนอคง D2 — อาจควบคุมเกินจำเป็น",IF(AND(P84="เปลี่ยนเป็นหน่วยงานผู้เชี่ยวชาญ",M84="No"),"⚠ เสนอโอน แต่ตอบว่ายังไม่มีผู้เชี่ยวชาญตรวจ",IF(AND(P84="เปลี่ยนเป็นหน่วยงานผู้เชี่ยวชาญ",Q84=""),"⚠ ยังไม่ระบุหน่วยงานผู้เชี่ยวชาญ","")))))</f>
        <v/>
      </c>
      <c r="U84" s="69">
        <f>IF(AND(P84="ตัด D2",ISNUMBER(D84),ISNUMBER(F84)),D84*F84,"")</f>
        <v/>
      </c>
      <c r="V84" s="73" t="n"/>
      <c r="W84" s="70">
        <f>IF(C84="","",IF(AND(ISNUMBER(D84),D84=0),"✔ ไม่เคยทำ (ข้าม)",IF(COUNTA(D84:P84)=0,"○ ยังไม่เริ่ม",IF(IF(D84="","จำนวน/ปี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","")="","✔ ครบ","⏳ ขาด: "&amp;TRIM(IF(D84="","จำนวน/ปี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",""))))))</f>
        <v/>
      </c>
    </row>
    <row r="85">
      <c r="A85" s="72" t="n"/>
      <c r="B85" s="73" t="n"/>
      <c r="C85" s="73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69">
        <f>IF(COUNTA(G85:I85,M85)&lt;4,"",Settings!$C$5*(G85="Yes")+Settings!$C$6*(H85="Yes")+Settings!$C$7*(I85="Yes")+Settings!$C$8*(M85="No"))</f>
        <v/>
      </c>
      <c r="S85" s="69">
        <f>IF(R85="","",IF(R85&gt;=Settings!$C$13,"สูง",IF(R85&gt;=Settings!$C$12,"ปานกลาง","ต่ำ")))</f>
        <v/>
      </c>
      <c r="T85" s="70">
        <f>IF(OR(S85="",P85=""),"",IF(AND(S85="สูง",P85="ตัด D2"),"⚠ เสี่ยงสูงแต่เสนอตัด D2 — ควรทบทวน",IF(AND(S85="ต่ำ",P85="คง D2"),"ℹ เสี่ยงต่ำแต่เสนอคง D2 — อาจควบคุมเกินจำเป็น",IF(AND(P85="เปลี่ยนเป็นหน่วยงานผู้เชี่ยวชาญ",M85="No"),"⚠ เสนอโอน แต่ตอบว่ายังไม่มีผู้เชี่ยวชาญตรวจ",IF(AND(P85="เปลี่ยนเป็นหน่วยงานผู้เชี่ยวชาญ",Q85=""),"⚠ ยังไม่ระบุหน่วยงานผู้เชี่ยวชาญ","")))))</f>
        <v/>
      </c>
      <c r="U85" s="69">
        <f>IF(AND(P85="ตัด D2",ISNUMBER(D85),ISNUMBER(F85)),D85*F85,"")</f>
        <v/>
      </c>
      <c r="V85" s="73" t="n"/>
      <c r="W85" s="70">
        <f>IF(C85="","",IF(AND(ISNUMBER(D85),D85=0),"✔ ไม่เคยทำ (ข้าม)",IF(COUNTA(D85:P85)=0,"○ ยังไม่เริ่ม",IF(IF(D85="","จำนวน/ปี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","")="","✔ ครบ","⏳ ขาด: "&amp;TRIM(IF(D85="","จำนวน/ปี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",""))))))</f>
        <v/>
      </c>
    </row>
    <row r="86">
      <c r="A86" s="72" t="n"/>
      <c r="B86" s="73" t="n"/>
      <c r="C86" s="73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69">
        <f>IF(COUNTA(G86:I86,M86)&lt;4,"",Settings!$C$5*(G86="Yes")+Settings!$C$6*(H86="Yes")+Settings!$C$7*(I86="Yes")+Settings!$C$8*(M86="No"))</f>
        <v/>
      </c>
      <c r="S86" s="69">
        <f>IF(R86="","",IF(R86&gt;=Settings!$C$13,"สูง",IF(R86&gt;=Settings!$C$12,"ปานกลาง","ต่ำ")))</f>
        <v/>
      </c>
      <c r="T86" s="70">
        <f>IF(OR(S86="",P86=""),"",IF(AND(S86="สูง",P86="ตัด D2"),"⚠ เสี่ยงสูงแต่เสนอตัด D2 — ควรทบทวน",IF(AND(S86="ต่ำ",P86="คง D2"),"ℹ เสี่ยงต่ำแต่เสนอคง D2 — อาจควบคุมเกินจำเป็น",IF(AND(P86="เปลี่ยนเป็นหน่วยงานผู้เชี่ยวชาญ",M86="No"),"⚠ เสนอโอน แต่ตอบว่ายังไม่มีผู้เชี่ยวชาญตรวจ",IF(AND(P86="เปลี่ยนเป็นหน่วยงานผู้เชี่ยวชาญ",Q86=""),"⚠ ยังไม่ระบุหน่วยงานผู้เชี่ยวชาญ","")))))</f>
        <v/>
      </c>
      <c r="U86" s="69">
        <f>IF(AND(P86="ตัด D2",ISNUMBER(D86),ISNUMBER(F86)),D86*F86,"")</f>
        <v/>
      </c>
      <c r="V86" s="73" t="n"/>
      <c r="W86" s="70">
        <f>IF(C86="","",IF(AND(ISNUMBER(D86),D86=0),"✔ ไม่เคยทำ (ข้าม)",IF(COUNTA(D86:P86)=0,"○ ยังไม่เริ่ม",IF(IF(D86="","จำนวน/ปี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","")="","✔ ครบ","⏳ ขาด: "&amp;TRIM(IF(D86="","จำนวน/ปี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",""))))))</f>
        <v/>
      </c>
    </row>
    <row r="87">
      <c r="A87" s="72" t="n"/>
      <c r="B87" s="73" t="n"/>
      <c r="C87" s="73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69">
        <f>IF(COUNTA(G87:I87,M87)&lt;4,"",Settings!$C$5*(G87="Yes")+Settings!$C$6*(H87="Yes")+Settings!$C$7*(I87="Yes")+Settings!$C$8*(M87="No"))</f>
        <v/>
      </c>
      <c r="S87" s="69">
        <f>IF(R87="","",IF(R87&gt;=Settings!$C$13,"สูง",IF(R87&gt;=Settings!$C$12,"ปานกลาง","ต่ำ")))</f>
        <v/>
      </c>
      <c r="T87" s="70">
        <f>IF(OR(S87="",P87=""),"",IF(AND(S87="สูง",P87="ตัด D2"),"⚠ เสี่ยงสูงแต่เสนอตัด D2 — ควรทบทวน",IF(AND(S87="ต่ำ",P87="คง D2"),"ℹ เสี่ยงต่ำแต่เสนอคง D2 — อาจควบคุมเกินจำเป็น",IF(AND(P87="เปลี่ยนเป็นหน่วยงานผู้เชี่ยวชาญ",M87="No"),"⚠ เสนอโอน แต่ตอบว่ายังไม่มีผู้เชี่ยวชาญตรวจ",IF(AND(P87="เปลี่ยนเป็นหน่วยงานผู้เชี่ยวชาญ",Q87=""),"⚠ ยังไม่ระบุหน่วยงานผู้เชี่ยวชาญ","")))))</f>
        <v/>
      </c>
      <c r="U87" s="69">
        <f>IF(AND(P87="ตัด D2",ISNUMBER(D87),ISNUMBER(F87)),D87*F87,"")</f>
        <v/>
      </c>
      <c r="V87" s="73" t="n"/>
      <c r="W87" s="70">
        <f>IF(C87="","",IF(AND(ISNUMBER(D87),D87=0),"✔ ไม่เคยทำ (ข้าม)",IF(COUNTA(D87:P87)=0,"○ ยังไม่เริ่ม",IF(IF(D87="","จำนวน/ปี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","")="","✔ ครบ","⏳ ขาด: "&amp;TRIM(IF(D87="","จำนวน/ปี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",""))))))</f>
        <v/>
      </c>
    </row>
    <row r="88">
      <c r="A88" s="72" t="n"/>
      <c r="B88" s="73" t="n"/>
      <c r="C88" s="73" t="n"/>
      <c r="D88" s="72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69">
        <f>IF(COUNTA(G88:I88,M88)&lt;4,"",Settings!$C$5*(G88="Yes")+Settings!$C$6*(H88="Yes")+Settings!$C$7*(I88="Yes")+Settings!$C$8*(M88="No"))</f>
        <v/>
      </c>
      <c r="S88" s="69">
        <f>IF(R88="","",IF(R88&gt;=Settings!$C$13,"สูง",IF(R88&gt;=Settings!$C$12,"ปานกลาง","ต่ำ")))</f>
        <v/>
      </c>
      <c r="T88" s="70">
        <f>IF(OR(S88="",P88=""),"",IF(AND(S88="สูง",P88="ตัด D2"),"⚠ เสี่ยงสูงแต่เสนอตัด D2 — ควรทบทวน",IF(AND(S88="ต่ำ",P88="คง D2"),"ℹ เสี่ยงต่ำแต่เสนอคง D2 — อาจควบคุมเกินจำเป็น",IF(AND(P88="เปลี่ยนเป็นหน่วยงานผู้เชี่ยวชาญ",M88="No"),"⚠ เสนอโอน แต่ตอบว่ายังไม่มีผู้เชี่ยวชาญตรวจ",IF(AND(P88="เปลี่ยนเป็นหน่วยงานผู้เชี่ยวชาญ",Q88=""),"⚠ ยังไม่ระบุหน่วยงานผู้เชี่ยวชาญ","")))))</f>
        <v/>
      </c>
      <c r="U88" s="69">
        <f>IF(AND(P88="ตัด D2",ISNUMBER(D88),ISNUMBER(F88)),D88*F88,"")</f>
        <v/>
      </c>
      <c r="V88" s="73" t="n"/>
      <c r="W88" s="70">
        <f>IF(C88="","",IF(AND(ISNUMBER(D88),D88=0),"✔ ไม่เคยทำ (ข้าม)",IF(COUNTA(D88:P88)=0,"○ ยังไม่เริ่ม",IF(IF(D88="","จำนวน/ปี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","")="","✔ ครบ","⏳ ขาด: "&amp;TRIM(IF(D88="","จำนวน/ปี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",""))))))</f>
        <v/>
      </c>
    </row>
    <row r="89">
      <c r="A89" s="72" t="n"/>
      <c r="B89" s="73" t="n"/>
      <c r="C89" s="73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69">
        <f>IF(COUNTA(G89:I89,M89)&lt;4,"",Settings!$C$5*(G89="Yes")+Settings!$C$6*(H89="Yes")+Settings!$C$7*(I89="Yes")+Settings!$C$8*(M89="No"))</f>
        <v/>
      </c>
      <c r="S89" s="69">
        <f>IF(R89="","",IF(R89&gt;=Settings!$C$13,"สูง",IF(R89&gt;=Settings!$C$12,"ปานกลาง","ต่ำ")))</f>
        <v/>
      </c>
      <c r="T89" s="70">
        <f>IF(OR(S89="",P89=""),"",IF(AND(S89="สูง",P89="ตัด D2"),"⚠ เสี่ยงสูงแต่เสนอตัด D2 — ควรทบทวน",IF(AND(S89="ต่ำ",P89="คง D2"),"ℹ เสี่ยงต่ำแต่เสนอคง D2 — อาจควบคุมเกินจำเป็น",IF(AND(P89="เปลี่ยนเป็นหน่วยงานผู้เชี่ยวชาญ",M89="No"),"⚠ เสนอโอน แต่ตอบว่ายังไม่มีผู้เชี่ยวชาญตรวจ",IF(AND(P89="เปลี่ยนเป็นหน่วยงานผู้เชี่ยวชาญ",Q89=""),"⚠ ยังไม่ระบุหน่วยงานผู้เชี่ยวชาญ","")))))</f>
        <v/>
      </c>
      <c r="U89" s="69">
        <f>IF(AND(P89="ตัด D2",ISNUMBER(D89),ISNUMBER(F89)),D89*F89,"")</f>
        <v/>
      </c>
      <c r="V89" s="73" t="n"/>
      <c r="W89" s="70">
        <f>IF(C89="","",IF(AND(ISNUMBER(D89),D89=0),"✔ ไม่เคยทำ (ข้าม)",IF(COUNTA(D89:P89)=0,"○ ยังไม่เริ่ม",IF(IF(D89="","จำนวน/ปี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","")="","✔ ครบ","⏳ ขาด: "&amp;TRIM(IF(D89="","จำนวน/ปี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",""))))))</f>
        <v/>
      </c>
    </row>
    <row r="90">
      <c r="A90" s="72" t="n"/>
      <c r="B90" s="73" t="n"/>
      <c r="C90" s="73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  <c r="N90" s="72" t="n"/>
      <c r="O90" s="72" t="n"/>
      <c r="P90" s="72" t="n"/>
      <c r="Q90" s="72" t="n"/>
      <c r="R90" s="69">
        <f>IF(COUNTA(G90:I90,M90)&lt;4,"",Settings!$C$5*(G90="Yes")+Settings!$C$6*(H90="Yes")+Settings!$C$7*(I90="Yes")+Settings!$C$8*(M90="No"))</f>
        <v/>
      </c>
      <c r="S90" s="69">
        <f>IF(R90="","",IF(R90&gt;=Settings!$C$13,"สูง",IF(R90&gt;=Settings!$C$12,"ปานกลาง","ต่ำ")))</f>
        <v/>
      </c>
      <c r="T90" s="70">
        <f>IF(OR(S90="",P90=""),"",IF(AND(S90="สูง",P90="ตัด D2"),"⚠ เสี่ยงสูงแต่เสนอตัด D2 — ควรทบทวน",IF(AND(S90="ต่ำ",P90="คง D2"),"ℹ เสี่ยงต่ำแต่เสนอคง D2 — อาจควบคุมเกินจำเป็น",IF(AND(P90="เปลี่ยนเป็นหน่วยงานผู้เชี่ยวชาญ",M90="No"),"⚠ เสนอโอน แต่ตอบว่ายังไม่มีผู้เชี่ยวชาญตรวจ",IF(AND(P90="เปลี่ยนเป็นหน่วยงานผู้เชี่ยวชาญ",Q90=""),"⚠ ยังไม่ระบุหน่วยงานผู้เชี่ยวชาญ","")))))</f>
        <v/>
      </c>
      <c r="U90" s="69">
        <f>IF(AND(P90="ตัด D2",ISNUMBER(D90),ISNUMBER(F90)),D90*F90,"")</f>
        <v/>
      </c>
      <c r="V90" s="73" t="n"/>
      <c r="W90" s="70">
        <f>IF(C90="","",IF(AND(ISNUMBER(D90),D90=0),"✔ ไม่เคยทำ (ข้าม)",IF(COUNTA(D90:P90)=0,"○ ยังไม่เริ่ม",IF(IF(D90="","จำนวน/ปี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","")="","✔ ครบ","⏳ ขาด: "&amp;TRIM(IF(D90="","จำนวน/ปี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",""))))))</f>
        <v/>
      </c>
    </row>
    <row r="91">
      <c r="A91" s="72" t="n"/>
      <c r="B91" s="73" t="n"/>
      <c r="C91" s="73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69">
        <f>IF(COUNTA(G91:I91,M91)&lt;4,"",Settings!$C$5*(G91="Yes")+Settings!$C$6*(H91="Yes")+Settings!$C$7*(I91="Yes")+Settings!$C$8*(M91="No"))</f>
        <v/>
      </c>
      <c r="S91" s="69">
        <f>IF(R91="","",IF(R91&gt;=Settings!$C$13,"สูง",IF(R91&gt;=Settings!$C$12,"ปานกลาง","ต่ำ")))</f>
        <v/>
      </c>
      <c r="T91" s="70">
        <f>IF(OR(S91="",P91=""),"",IF(AND(S91="สูง",P91="ตัด D2"),"⚠ เสี่ยงสูงแต่เสนอตัด D2 — ควรทบทวน",IF(AND(S91="ต่ำ",P91="คง D2"),"ℹ เสี่ยงต่ำแต่เสนอคง D2 — อาจควบคุมเกินจำเป็น",IF(AND(P91="เปลี่ยนเป็นหน่วยงานผู้เชี่ยวชาญ",M91="No"),"⚠ เสนอโอน แต่ตอบว่ายังไม่มีผู้เชี่ยวชาญตรวจ",IF(AND(P91="เปลี่ยนเป็นหน่วยงานผู้เชี่ยวชาญ",Q91=""),"⚠ ยังไม่ระบุหน่วยงานผู้เชี่ยวชาญ","")))))</f>
        <v/>
      </c>
      <c r="U91" s="69">
        <f>IF(AND(P91="ตัด D2",ISNUMBER(D91),ISNUMBER(F91)),D91*F91,"")</f>
        <v/>
      </c>
      <c r="V91" s="73" t="n"/>
      <c r="W91" s="70">
        <f>IF(C91="","",IF(AND(ISNUMBER(D91),D91=0),"✔ ไม่เคยทำ (ข้าม)",IF(COUNTA(D91:P91)=0,"○ ยังไม่เริ่ม",IF(IF(D91="","จำนวน/ปี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","")="","✔ ครบ","⏳ ขาด: "&amp;TRIM(IF(D91="","จำนวน/ปี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",""))))))</f>
        <v/>
      </c>
    </row>
  </sheetData>
  <mergeCells count="12">
    <mergeCell ref="P4:Q4"/>
    <mergeCell ref="C2:H2"/>
    <mergeCell ref="R4:U4"/>
    <mergeCell ref="W4"/>
    <mergeCell ref="V4"/>
    <mergeCell ref="D4:F4"/>
    <mergeCell ref="M4:O4"/>
    <mergeCell ref="A3:W3"/>
    <mergeCell ref="G4:L4"/>
    <mergeCell ref="A4:C4"/>
    <mergeCell ref="J2:P2"/>
    <mergeCell ref="A6:B6"/>
  </mergeCells>
  <conditionalFormatting sqref="S7:S91">
    <cfRule type="cellIs" priority="1" operator="equal" dxfId="5">
      <formula>"สูง"</formula>
    </cfRule>
    <cfRule type="cellIs" priority="2" operator="equal" dxfId="6">
      <formula>"ปานกลาง"</formula>
    </cfRule>
    <cfRule type="cellIs" priority="3" operator="equal" dxfId="7">
      <formula>"ต่ำ"</formula>
    </cfRule>
  </conditionalFormatting>
  <conditionalFormatting sqref="T7:T91">
    <cfRule type="expression" priority="4" dxfId="8">
      <formula>LEFT(T7,1)="⚠"</formula>
    </cfRule>
    <cfRule type="expression" priority="5" dxfId="9">
      <formula>LEFT(T7,1)="ℹ"</formula>
    </cfRule>
  </conditionalFormatting>
  <conditionalFormatting sqref="Q7:Q91">
    <cfRule type="expression" priority="6" dxfId="10">
      <formula>AND($P7="เปลี่ยนเป็นหน่วยงานผู้เชี่ยวชาญ",$Q7="")</formula>
    </cfRule>
    <cfRule type="expression" priority="7" dxfId="11">
      <formula>$P7&lt;&gt;"เปลี่ยนเป็นหน่วยงานผู้เชี่ยวชาญ"</formula>
    </cfRule>
  </conditionalFormatting>
  <conditionalFormatting sqref="A7:A91">
    <cfRule type="expression" priority="8" dxfId="12">
      <formula>LEFT($W7,1)="✔"</formula>
    </cfRule>
    <cfRule type="expression" priority="9" dxfId="3">
      <formula>LEFT($W7,1)="⏳"</formula>
    </cfRule>
  </conditionalFormatting>
  <conditionalFormatting sqref="W7:W91">
    <cfRule type="expression" priority="10" dxfId="13">
      <formula>LEFT($W7,1)="✔"</formula>
    </cfRule>
    <cfRule type="expression" priority="11" dxfId="14">
      <formula>LEFT($W7,1)="⏳"</formula>
    </cfRule>
  </conditionalFormatting>
  <conditionalFormatting sqref="D7:P91">
    <cfRule type="expression" priority="12" dxfId="0">
      <formula>AND($C7&lt;&gt;"",COUNTA($D7:$P7)&gt;0,D7="",NOT(AND(ISNUMBER($D7),$D7=0)))</formula>
    </cfRule>
  </conditionalFormatting>
  <conditionalFormatting sqref="A7:V91">
    <cfRule type="expression" priority="13" dxfId="15">
      <formula>AND($C7&lt;&gt;"",$D7=0,ISNUMBER($D7))</formula>
    </cfRule>
  </conditionalFormatting>
  <dataValidations count="14">
    <dataValidation sqref="D7:D91" showDropDown="0" showInputMessage="1" showErrorMessage="1" allowBlank="1" errorTitle="ตัวเลขเท่านั้น" error="กรุณากรอกตัวเลขตั้งแต่ 0 ขึ้นไป" promptTitle="จำนวนรายการต่อปี" prompt="จำนวนเรื่องที่เสนอขออนุมัติต่อปี&#10;ถ้างานท่านไม่เคยทำกระบวนการนี้ ใส่ 0" type="decimal" operator="greaterThanOrEqual">
      <formula1>0</formula1>
    </dataValidation>
    <dataValidation sqref="E7:E91" showDropDown="0" showInputMessage="1" showErrorMessage="1" allowBlank="1" errorTitle="ตัวเลขเท่านั้น" error="กรุณากรอกตัวเลขตั้งแต่ 0 ขึ้นไป" promptTitle="ระยะเวลาเฉลี่ย (วัน)" prompt="ตั้งแต่เริ่มเสนอเรื่องจนได้รับอนุมัติ ครบทุกขั้นตอน (วันทำการ)" type="decimal" operator="greaterThanOrEqual">
      <formula1>0</formula1>
    </dataValidation>
    <dataValidation sqref="F7:F91" showDropDown="0" showInputMessage="1" showErrorMessage="1" allowBlank="1" errorTitle="ตัวเลขเท่านั้น" error="กรุณากรอกตัวเลขตั้งแต่ 0 ขึ้นไป" promptTitle="ระยะเวลาที่ D2 ใช้ (วัน)" prompt="เรื่องค้างอยู่ที่เลขานุการคณะ (D2) โดยเฉลี่ยกี่วัน&#10;ใช้คำนวณวันที่ประหยัดได้ถ้าตัด D2" type="decimal" operator="greaterThanOrEqual">
      <formula1>0</formula1>
    </dataValidation>
    <dataValidation sqref="G7:G91" showDropDown="0" showInputMessage="1" showErrorMessage="1" allowBlank="1" errorTitle="เลือกจากรายการ" error="กรุณาเลือกค่าจาก Dropdown" promptTitle="ผลกระทบด้านงบประมาณ" prompt="กระบวนการนี้มีผลกระทบต่องบประมาณหรือไม่&#10;Yes = มี  /  No = ไม่มี" type="list">
      <formula1>=Settings!$E$5:$E$6</formula1>
    </dataValidation>
    <dataValidation sqref="H7:H91" showDropDown="0" showInputMessage="1" showErrorMessage="1" allowBlank="1" errorTitle="เลือกจากรายการ" error="กรุณาเลือกค่าจาก Dropdown" promptTitle="ผลกระทบด้านอัตรากำลัง" prompt="กระบวนการนี้มีผลกระทบต่ออัตรากำลังหรือไม่&#10;Yes = มี  /  No = ไม่มี" type="list">
      <formula1>=Settings!$E$5:$E$6</formula1>
    </dataValidation>
    <dataValidation sqref="I7:I91" showDropDown="0" showInputMessage="1" showErrorMessage="1" allowBlank="1" errorTitle="เลือกจากรายการ" error="กรุณาเลือกค่าจาก Dropdown" promptTitle="ผลกระทบด้านกฎหมาย/ระเบียบ" prompt="กระบวนการนี้มีผลกระทบต่อกฎหมาย/ระเบียบหรือไม่&#10;Yes = มี  /  No = ไม่มี" type="list">
      <formula1>=Settings!$E$5:$E$6</formula1>
    </dataValidation>
    <dataValidation sqref="J7:J91" showDropDown="0" showInputMessage="1" showErrorMessage="1" allowBlank="1" errorTitle="เลือกจากรายการ" error="กรุณาเลือกค่าจาก Dropdown" promptTitle="ผลกระทบด้านทรัพย์สิน/พัสดุ" prompt="กระบวนการนี้มีผลกระทบต่อทรัพย์สิน/พัสดุหรือไม่&#10;Yes = มี  /  No = ไม่มี" type="list">
      <formula1>=Settings!$E$5:$E$6</formula1>
    </dataValidation>
    <dataValidation sqref="K7:K91" showDropDown="0" showInputMessage="1" showErrorMessage="1" allowBlank="1" errorTitle="เลือกจากรายการ" error="กรุณาเลือกค่าจาก Dropdown" promptTitle="ผลกระทบด้านชื่อเสียงองค์กร" prompt="กระบวนการนี้มีผลกระทบต่อชื่อเสียงองค์กรหรือไม่&#10;Yes = มี  /  No = ไม่มี" type="list">
      <formula1>=Settings!$E$5:$E$6</formula1>
    </dataValidation>
    <dataValidation sqref="L7:L91" showDropDown="0" showInputMessage="1" showErrorMessage="1" allowBlank="1" errorTitle="เลือกจากรายการ" error="กรุณาเลือกค่าจาก Dropdown" promptTitle="ผลกระทบด้านนโยบายหรือยุทธศาสตร์คณะ" prompt="กระบวนการนี้มีผลกระทบต่อนโยบายหรือยุทธศาสตร์คณะหรือไม่&#10;Yes = มี  /  No = ไม่มี" type="list">
      <formula1>=Settings!$E$5:$E$6</formula1>
    </dataValidation>
    <dataValidation sqref="M7:M91" showDropDown="0" showInputMessage="1" showErrorMessage="1" allowBlank="1" errorTitle="เลือกจากรายการ" error="กรุณาเลือกค่าจาก Dropdown" promptTitle="มีผู้เชี่ยวชาญตรวจอยู่แล้วหรือไม่" prompt="มีหน่วยงานเฉพาะทาง (การเงิน พัสดุ บุคคล นิติการ ฯลฯ) ตรวจสอบกระบวนการนี้อยู่แล้วหรือไม่&#10;Yes = มี  /  No = ไม่มี" type="list">
      <formula1>=Settings!$E$5:$E$6</formula1>
    </dataValidation>
    <dataValidation sqref="N7:N91" showDropDown="0" showInputMessage="1" showErrorMessage="1" allowBlank="1" errorTitle="เลือกจากรายการ" error="กรุณาเลือกค่าจาก Dropdown" promptTitle="D2 เพิ่มคุณค่าระดับใด" prompt="เลขานุการคณะ (D2) ช่วยเพิ่มคุณค่าหรือควบคุมความเสี่ยงในกระบวนการนี้มากน้อยเพียงใด" type="list">
      <formula1>=Settings!$F$5:$F$8</formula1>
    </dataValidation>
    <dataValidation sqref="O7:O91" showDropDown="0" showInputMessage="1" showErrorMessage="1" allowBlank="1" errorTitle="เลือกจากรายการ" error="กรุณาเลือกค่าจาก Dropdown" promptTitle="D2 เคยตีกลับหรือไม่" prompt="D2 เคยตรวจพบข้อผิดพลาดและตีกลับเรื่องนี้บ่อยเพียงใด" type="list">
      <formula1>=Settings!$G$5:$G$8</formula1>
    </dataValidation>
    <dataValidation sqref="P7:P91" showDropDown="0" showInputMessage="1" showErrorMessage="1" allowBlank="1" errorTitle="เลือกจากรายการ" error="กรุณาเลือกค่าจาก Dropdown" promptTitle="ข้อเสนอของท่าน" prompt="คง D2 / ตัด D2 / เปลี่ยนเป็นหน่วยงานผู้เชี่ยวชาญ / ขอหารือเพิ่มเติม" type="list">
      <formula1>=Settings!$H$5:$H$8</formula1>
    </dataValidation>
    <dataValidation sqref="Q7:Q91" showDropDown="0" showInputMessage="1" showErrorMessage="1" allowBlank="1" errorTitle="เลือกจากรายการ" error="กรุณาเลือกค่าจาก Dropdown" promptTitle="หน่วยงานผู้เชี่ยวชาญ" prompt="เลือกเฉพาะเมื่อข้อเสนอคือ 'เปลี่ยนเป็นหน่วยงานผู้เชี่ยวชาญ'" type="list">
      <formula1>=Settings!$I$5:$I$11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9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5" customWidth="1" min="13" max="13"/>
    <col width="13" customWidth="1" min="14" max="14"/>
    <col width="15" customWidth="1" min="15" max="15"/>
    <col width="24" customWidth="1" min="16" max="16"/>
    <col width="20" customWidth="1" min="17" max="17"/>
    <col width="10" customWidth="1" min="18" max="18"/>
    <col width="11" customWidth="1" min="19" max="19"/>
    <col width="34" customWidth="1" min="20" max="20"/>
    <col width="17" customWidth="1" min="21" max="21"/>
    <col width="44" customWidth="1" min="22" max="22"/>
    <col width="34" customWidth="1" min="23" max="23"/>
  </cols>
  <sheetData>
    <row r="1">
      <c r="A1" s="50" t="inlineStr">
        <is>
          <t>แบบสำรวจการปรับปรุง Approval Matrix (Risk-Based Approval)</t>
        </is>
      </c>
    </row>
    <row r="2" ht="24" customHeight="1">
      <c r="A2" s="51" t="inlineStr">
        <is>
          <t>หน่วยงาน:</t>
        </is>
      </c>
      <c r="C2" s="52" t="inlineStr">
        <is>
          <t>งานบริหารงานวิจัยและบริการวิชาการ</t>
        </is>
      </c>
      <c r="J2" s="53">
        <f>"กรอกครบแล้ว "&amp;COUNTIF(W7:W91,"✔*")&amp;" / "&amp;COUNTIF(C7:C91,"?*")&amp;" กระบวนการ  ("&amp;TEXT(COUNTIF(W7:W91,"✔*")/MAX(1,COUNTIF(C7:C91,"?*")),"0%")&amp;")"</f>
        <v/>
      </c>
    </row>
    <row r="3">
      <c r="A3" s="54" t="inlineStr">
        <is>
          <t>วิธีกรอก: ทำตามลำดับ ①→④ จากซ้ายไปขวา เฉพาะช่องสีเหลือง  |  คลิกช่องใดก็ได้เพื่อดูคำอธิบาย  |  ช่องลำดับ: 🟩 ครบ  🟧 ยังขาด (ดูช่อง 'สถานะการกรอก')  |  กระบวนการที่ไม่เคยทำ ใส่จำนวนรายการ = 0 ได้เลย</t>
        </is>
      </c>
    </row>
    <row r="4">
      <c r="A4" s="4" t="inlineStr">
        <is>
          <t>กระบวนการ</t>
        </is>
      </c>
      <c r="B4" s="55" t="n"/>
      <c r="C4" s="55" t="n"/>
      <c r="D4" s="56" t="inlineStr">
        <is>
          <t>① ข้อมูลพื้นฐาน</t>
        </is>
      </c>
      <c r="E4" s="57" t="n"/>
      <c r="F4" s="57" t="n"/>
      <c r="G4" s="58" t="inlineStr">
        <is>
          <t>② ผลกระทบ — กระบวนการนี้มีผลกระทบต่อ… (Yes/No)</t>
        </is>
      </c>
      <c r="H4" s="59" t="n"/>
      <c r="I4" s="59" t="n"/>
      <c r="J4" s="59" t="n"/>
      <c r="K4" s="59" t="n"/>
      <c r="L4" s="59" t="n"/>
      <c r="M4" s="60" t="inlineStr">
        <is>
          <t>③ การประเมินการควบคุม</t>
        </is>
      </c>
      <c r="N4" s="61" t="n"/>
      <c r="O4" s="61" t="n"/>
      <c r="P4" s="62" t="inlineStr">
        <is>
          <t>④ ข้อเสนอของหัวหน้างาน</t>
        </is>
      </c>
      <c r="Q4" s="63" t="n"/>
      <c r="R4" s="64" t="inlineStr">
        <is>
          <t>คำนวณอัตโนมัติ (ห้ามกรอก)</t>
        </is>
      </c>
      <c r="S4" s="65" t="n"/>
      <c r="T4" s="65" t="n"/>
      <c r="U4" s="65" t="n"/>
      <c r="V4" s="56" t="inlineStr">
        <is>
          <t>เพิ่มเติม (ถ้ามี)</t>
        </is>
      </c>
      <c r="W4" s="64" t="inlineStr">
        <is>
          <t>ตรวจสอบ</t>
        </is>
      </c>
    </row>
    <row r="5" ht="48" customHeight="1">
      <c r="A5" s="15" t="inlineStr">
        <is>
          <t>ลำดับ</t>
        </is>
      </c>
      <c r="B5" s="15" t="inlineStr">
        <is>
          <t>กลุ่มงาน</t>
        </is>
      </c>
      <c r="C5" s="15" t="inlineStr">
        <is>
          <t>ชื่อกระบวนการ</t>
        </is>
      </c>
      <c r="D5" s="15" t="inlineStr">
        <is>
          <t>จำนวนรายการ
ต่อปี</t>
        </is>
      </c>
      <c r="E5" s="15" t="inlineStr">
        <is>
          <t>ระยะเวลาดำเนินการ
เฉลี่ย (วัน)</t>
        </is>
      </c>
      <c r="F5" s="15" t="inlineStr">
        <is>
          <t>ระยะเวลาที่ D2
ใช้ (วัน)</t>
        </is>
      </c>
      <c r="G5" s="15" t="inlineStr">
        <is>
          <t>งบประมาณ</t>
        </is>
      </c>
      <c r="H5" s="15" t="inlineStr">
        <is>
          <t>อัตรากำลัง</t>
        </is>
      </c>
      <c r="I5" s="15" t="inlineStr">
        <is>
          <t>กฎหมาย/
ระเบียบ</t>
        </is>
      </c>
      <c r="J5" s="15" t="inlineStr">
        <is>
          <t>ทรัพย์สิน/
พัสดุ</t>
        </is>
      </c>
      <c r="K5" s="15" t="inlineStr">
        <is>
          <t>ชื่อเสียง
องค์กร</t>
        </is>
      </c>
      <c r="L5" s="15" t="inlineStr">
        <is>
          <t>นโยบาย/
ยุทธศาสตร์คณะ</t>
        </is>
      </c>
      <c r="M5" s="15" t="inlineStr">
        <is>
          <t>มีหน่วยงาน
ผู้เชี่ยวชาญตรวจ
อยู่แล้วหรือไม่</t>
        </is>
      </c>
      <c r="N5" s="15" t="inlineStr">
        <is>
          <t>D2 เพิ่มคุณค่า
ในระดับใด</t>
        </is>
      </c>
      <c r="O5" s="15" t="inlineStr">
        <is>
          <t>D2 เคยตรวจพบ
ข้อผิดพลาด (ตีกลับ)</t>
        </is>
      </c>
      <c r="P5" s="15" t="inlineStr">
        <is>
          <t>ข้อเสนอ
ของหัวหน้างาน</t>
        </is>
      </c>
      <c r="Q5" s="15" t="inlineStr">
        <is>
          <t>หน่วยงานผู้เชี่ยวชาญ
(กรณีเลือกเปลี่ยน)</t>
        </is>
      </c>
      <c r="R5" s="15" t="inlineStr">
        <is>
          <t>คะแนน
ความเสี่ยง</t>
        </is>
      </c>
      <c r="S5" s="15" t="inlineStr">
        <is>
          <t>ระดับ
ความเสี่ยง</t>
        </is>
      </c>
      <c r="T5" s="15" t="inlineStr">
        <is>
          <t>ธงเตือน</t>
        </is>
      </c>
      <c r="U5" s="15" t="inlineStr">
        <is>
          <t>วันทำการที่ประหยัดได้
ต่อปี (ถ้าตัด D2)</t>
        </is>
      </c>
      <c r="V5" s="15" t="inlineStr">
        <is>
          <t>ข้อเสนอแนะ / แนวทางปรับปรุง Workflow</t>
        </is>
      </c>
      <c r="W5" s="15" t="inlineStr">
        <is>
          <t>สถานะการกรอก</t>
        </is>
      </c>
    </row>
    <row r="6" ht="30" customHeight="1">
      <c r="A6" s="66" t="inlineStr">
        <is>
          <t>▶ คำใบ้</t>
        </is>
      </c>
      <c r="B6" s="67" t="n"/>
      <c r="C6" s="68" t="inlineStr">
        <is>
          <t>ชื่อกระบวนการ (แก้ไข/เพิ่มได้)</t>
        </is>
      </c>
      <c r="D6" s="68" t="inlineStr">
        <is>
          <t>ตัวเลข
เช่น 120</t>
        </is>
      </c>
      <c r="E6" s="68" t="inlineStr">
        <is>
          <t>ตัวเลข (วัน)
เช่น 7</t>
        </is>
      </c>
      <c r="F6" s="68" t="inlineStr">
        <is>
          <t>ตัวเลข (วัน)
เช่น 2</t>
        </is>
      </c>
      <c r="G6" s="68" t="inlineStr">
        <is>
          <t>Yes = มีผลกระทบ
No = ไม่มี</t>
        </is>
      </c>
      <c r="H6" s="68" t="inlineStr">
        <is>
          <t>Yes = มีผลกระทบ
No = ไม่มี</t>
        </is>
      </c>
      <c r="I6" s="68" t="inlineStr">
        <is>
          <t>Yes = มีผลกระทบ
No = ไม่มี</t>
        </is>
      </c>
      <c r="J6" s="68" t="inlineStr">
        <is>
          <t>Yes = มีผลกระทบ
No = ไม่มี</t>
        </is>
      </c>
      <c r="K6" s="68" t="inlineStr">
        <is>
          <t>Yes = มีผลกระทบ
No = ไม่มี</t>
        </is>
      </c>
      <c r="L6" s="68" t="inlineStr">
        <is>
          <t>Yes = มีผลกระทบ
No = ไม่มี</t>
        </is>
      </c>
      <c r="M6" s="68" t="inlineStr">
        <is>
          <t>Yes / No</t>
        </is>
      </c>
      <c r="N6" s="68" t="inlineStr">
        <is>
          <t>เลือกจากรายการ</t>
        </is>
      </c>
      <c r="O6" s="68" t="inlineStr">
        <is>
          <t>เลือกจากรายการ</t>
        </is>
      </c>
      <c r="P6" s="68" t="inlineStr">
        <is>
          <t>เลือกจากรายการ</t>
        </is>
      </c>
      <c r="Q6" s="68" t="inlineStr">
        <is>
          <t>เลือกเมื่อ 'เปลี่ยน…'</t>
        </is>
      </c>
      <c r="R6" s="68" t="inlineStr">
        <is>
          <t>อัตโนมัติ</t>
        </is>
      </c>
      <c r="S6" s="68" t="inlineStr">
        <is>
          <t>อัตโนมัติ</t>
        </is>
      </c>
      <c r="T6" s="68" t="inlineStr">
        <is>
          <t>อัตโนมัติ</t>
        </is>
      </c>
      <c r="U6" s="68" t="inlineStr">
        <is>
          <t>อัตโนมัติ</t>
        </is>
      </c>
      <c r="V6" s="68" t="inlineStr">
        <is>
          <t>พิมพ์ข้อความ (ถ้ามี)</t>
        </is>
      </c>
      <c r="W6" s="68" t="inlineStr">
        <is>
          <t>อัตโนมัติ</t>
        </is>
      </c>
    </row>
    <row r="7">
      <c r="A7" s="69" t="n">
        <v>1</v>
      </c>
      <c r="B7" s="70" t="inlineStr">
        <is>
          <t>การเงินและพัสดุ</t>
        </is>
      </c>
      <c r="C7" s="71" t="inlineStr">
        <is>
          <t>ขออนุมัติ เบิกจ่ายตามงบ</t>
        </is>
      </c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69">
        <f>IF(COUNTA(G7:I7,M7)&lt;4,"",Settings!$C$5*(G7="Yes")+Settings!$C$6*(H7="Yes")+Settings!$C$7*(I7="Yes")+Settings!$C$8*(M7="No"))</f>
        <v/>
      </c>
      <c r="S7" s="69">
        <f>IF(R7="","",IF(R7&gt;=Settings!$C$13,"สูง",IF(R7&gt;=Settings!$C$12,"ปานกลาง","ต่ำ")))</f>
        <v/>
      </c>
      <c r="T7" s="70">
        <f>IF(OR(S7="",P7=""),"",IF(AND(S7="สูง",P7="ตัด D2"),"⚠ เสี่ยงสูงแต่เสนอตัด D2 — ควรทบทวน",IF(AND(S7="ต่ำ",P7="คง D2"),"ℹ เสี่ยงต่ำแต่เสนอคง D2 — อาจควบคุมเกินจำเป็น",IF(AND(P7="เปลี่ยนเป็นหน่วยงานผู้เชี่ยวชาญ",M7="No"),"⚠ เสนอโอน แต่ตอบว่ายังไม่มีผู้เชี่ยวชาญตรวจ",IF(AND(P7="เปลี่ยนเป็นหน่วยงานผู้เชี่ยวชาญ",Q7=""),"⚠ ยังไม่ระบุหน่วยงานผู้เชี่ยวชาญ","")))))</f>
        <v/>
      </c>
      <c r="U7" s="69">
        <f>IF(AND(P7="ตัด D2",ISNUMBER(D7),ISNUMBER(F7)),D7*F7,"")</f>
        <v/>
      </c>
      <c r="V7" s="73" t="n"/>
      <c r="W7" s="70">
        <f>IF(C7="","",IF(AND(ISNUMBER(D7),D7=0),"✔ ไม่เคยทำ (ข้าม)",IF(COUNTA(D7:P7)=0,"○ ยังไม่เริ่ม",IF(IF(D7="","จำนวน/ปี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","")="","✔ ครบ","⏳ ขาด: "&amp;TRIM(IF(D7="","จำนวน/ปี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",""))))))</f>
        <v/>
      </c>
    </row>
    <row r="8">
      <c r="A8" s="69" t="n">
        <v>2</v>
      </c>
      <c r="B8" s="70" t="inlineStr">
        <is>
          <t>การเงินและพัสดุ</t>
        </is>
      </c>
      <c r="C8" s="71" t="inlineStr">
        <is>
          <t>ยืมเงินทดรองจ่าย</t>
        </is>
      </c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69">
        <f>IF(COUNTA(G8:I8,M8)&lt;4,"",Settings!$C$5*(G8="Yes")+Settings!$C$6*(H8="Yes")+Settings!$C$7*(I8="Yes")+Settings!$C$8*(M8="No"))</f>
        <v/>
      </c>
      <c r="S8" s="69">
        <f>IF(R8="","",IF(R8&gt;=Settings!$C$13,"สูง",IF(R8&gt;=Settings!$C$12,"ปานกลาง","ต่ำ")))</f>
        <v/>
      </c>
      <c r="T8" s="70">
        <f>IF(OR(S8="",P8=""),"",IF(AND(S8="สูง",P8="ตัด D2"),"⚠ เสี่ยงสูงแต่เสนอตัด D2 — ควรทบทวน",IF(AND(S8="ต่ำ",P8="คง D2"),"ℹ เสี่ยงต่ำแต่เสนอคง D2 — อาจควบคุมเกินจำเป็น",IF(AND(P8="เปลี่ยนเป็นหน่วยงานผู้เชี่ยวชาญ",M8="No"),"⚠ เสนอโอน แต่ตอบว่ายังไม่มีผู้เชี่ยวชาญตรวจ",IF(AND(P8="เปลี่ยนเป็นหน่วยงานผู้เชี่ยวชาญ",Q8=""),"⚠ ยังไม่ระบุหน่วยงานผู้เชี่ยวชาญ","")))))</f>
        <v/>
      </c>
      <c r="U8" s="69">
        <f>IF(AND(P8="ตัด D2",ISNUMBER(D8),ISNUMBER(F8)),D8*F8,"")</f>
        <v/>
      </c>
      <c r="V8" s="73" t="n"/>
      <c r="W8" s="70">
        <f>IF(C8="","",IF(AND(ISNUMBER(D8),D8=0),"✔ ไม่เคยทำ (ข้าม)",IF(COUNTA(D8:P8)=0,"○ ยังไม่เริ่ม",IF(IF(D8="","จำนวน/ปี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","")="","✔ ครบ","⏳ ขาด: "&amp;TRIM(IF(D8="","จำนวน/ปี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",""))))))</f>
        <v/>
      </c>
    </row>
    <row r="9">
      <c r="A9" s="69" t="n">
        <v>3</v>
      </c>
      <c r="B9" s="70" t="inlineStr">
        <is>
          <t>การเงินและพัสดุ</t>
        </is>
      </c>
      <c r="C9" s="71" t="inlineStr">
        <is>
          <t>ขอซื้อวัสดุสำนักงานตามแผน</t>
        </is>
      </c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69">
        <f>IF(COUNTA(G9:I9,M9)&lt;4,"",Settings!$C$5*(G9="Yes")+Settings!$C$6*(H9="Yes")+Settings!$C$7*(I9="Yes")+Settings!$C$8*(M9="No"))</f>
        <v/>
      </c>
      <c r="S9" s="69">
        <f>IF(R9="","",IF(R9&gt;=Settings!$C$13,"สูง",IF(R9&gt;=Settings!$C$12,"ปานกลาง","ต่ำ")))</f>
        <v/>
      </c>
      <c r="T9" s="70">
        <f>IF(OR(S9="",P9=""),"",IF(AND(S9="สูง",P9="ตัด D2"),"⚠ เสี่ยงสูงแต่เสนอตัด D2 — ควรทบทวน",IF(AND(S9="ต่ำ",P9="คง D2"),"ℹ เสี่ยงต่ำแต่เสนอคง D2 — อาจควบคุมเกินจำเป็น",IF(AND(P9="เปลี่ยนเป็นหน่วยงานผู้เชี่ยวชาญ",M9="No"),"⚠ เสนอโอน แต่ตอบว่ายังไม่มีผู้เชี่ยวชาญตรวจ",IF(AND(P9="เปลี่ยนเป็นหน่วยงานผู้เชี่ยวชาญ",Q9=""),"⚠ ยังไม่ระบุหน่วยงานผู้เชี่ยวชาญ","")))))</f>
        <v/>
      </c>
      <c r="U9" s="69">
        <f>IF(AND(P9="ตัด D2",ISNUMBER(D9),ISNUMBER(F9)),D9*F9,"")</f>
        <v/>
      </c>
      <c r="V9" s="73" t="n"/>
      <c r="W9" s="70">
        <f>IF(C9="","",IF(AND(ISNUMBER(D9),D9=0),"✔ ไม่เคยทำ (ข้าม)",IF(COUNTA(D9:P9)=0,"○ ยังไม่เริ่ม",IF(IF(D9="","จำนวน/ปี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","")="","✔ ครบ","⏳ ขาด: "&amp;TRIM(IF(D9="","จำนวน/ปี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",""))))))</f>
        <v/>
      </c>
    </row>
    <row r="10">
      <c r="A10" s="69" t="n">
        <v>4</v>
      </c>
      <c r="B10" s="70" t="inlineStr">
        <is>
          <t>การเงินและพัสดุ</t>
        </is>
      </c>
      <c r="C10" s="71" t="inlineStr">
        <is>
          <t>ขอซื้อวัสดุโครงการ</t>
        </is>
      </c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69">
        <f>IF(COUNTA(G10:I10,M10)&lt;4,"",Settings!$C$5*(G10="Yes")+Settings!$C$6*(H10="Yes")+Settings!$C$7*(I10="Yes")+Settings!$C$8*(M10="No"))</f>
        <v/>
      </c>
      <c r="S10" s="69">
        <f>IF(R10="","",IF(R10&gt;=Settings!$C$13,"สูง",IF(R10&gt;=Settings!$C$12,"ปานกลาง","ต่ำ")))</f>
        <v/>
      </c>
      <c r="T10" s="70">
        <f>IF(OR(S10="",P10=""),"",IF(AND(S10="สูง",P10="ตัด D2"),"⚠ เสี่ยงสูงแต่เสนอตัด D2 — ควรทบทวน",IF(AND(S10="ต่ำ",P10="คง D2"),"ℹ เสี่ยงต่ำแต่เสนอคง D2 — อาจควบคุมเกินจำเป็น",IF(AND(P10="เปลี่ยนเป็นหน่วยงานผู้เชี่ยวชาญ",M10="No"),"⚠ เสนอโอน แต่ตอบว่ายังไม่มีผู้เชี่ยวชาญตรวจ",IF(AND(P10="เปลี่ยนเป็นหน่วยงานผู้เชี่ยวชาญ",Q10=""),"⚠ ยังไม่ระบุหน่วยงานผู้เชี่ยวชาญ","")))))</f>
        <v/>
      </c>
      <c r="U10" s="69">
        <f>IF(AND(P10="ตัด D2",ISNUMBER(D10),ISNUMBER(F10)),D10*F10,"")</f>
        <v/>
      </c>
      <c r="V10" s="73" t="n"/>
      <c r="W10" s="70">
        <f>IF(C10="","",IF(AND(ISNUMBER(D10),D10=0),"✔ ไม่เคยทำ (ข้าม)",IF(COUNTA(D10:P10)=0,"○ ยังไม่เริ่ม",IF(IF(D10="","จำนวน/ปี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","")="","✔ ครบ","⏳ ขาด: "&amp;TRIM(IF(D10="","จำนวน/ปี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",""))))))</f>
        <v/>
      </c>
    </row>
    <row r="11">
      <c r="A11" s="69" t="n">
        <v>5</v>
      </c>
      <c r="B11" s="70" t="inlineStr">
        <is>
          <t>การเงินและพัสดุ</t>
        </is>
      </c>
      <c r="C11" s="71" t="inlineStr">
        <is>
          <t>ขอจ้างเหมาบริการทั่วไป</t>
        </is>
      </c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69">
        <f>IF(COUNTA(G11:I11,M11)&lt;4,"",Settings!$C$5*(G11="Yes")+Settings!$C$6*(H11="Yes")+Settings!$C$7*(I11="Yes")+Settings!$C$8*(M11="No"))</f>
        <v/>
      </c>
      <c r="S11" s="69">
        <f>IF(R11="","",IF(R11&gt;=Settings!$C$13,"สูง",IF(R11&gt;=Settings!$C$12,"ปานกลาง","ต่ำ")))</f>
        <v/>
      </c>
      <c r="T11" s="70">
        <f>IF(OR(S11="",P11=""),"",IF(AND(S11="สูง",P11="ตัด D2"),"⚠ เสี่ยงสูงแต่เสนอตัด D2 — ควรทบทวน",IF(AND(S11="ต่ำ",P11="คง D2"),"ℹ เสี่ยงต่ำแต่เสนอคง D2 — อาจควบคุมเกินจำเป็น",IF(AND(P11="เปลี่ยนเป็นหน่วยงานผู้เชี่ยวชาญ",M11="No"),"⚠ เสนอโอน แต่ตอบว่ายังไม่มีผู้เชี่ยวชาญตรวจ",IF(AND(P11="เปลี่ยนเป็นหน่วยงานผู้เชี่ยวชาญ",Q11=""),"⚠ ยังไม่ระบุหน่วยงานผู้เชี่ยวชาญ","")))))</f>
        <v/>
      </c>
      <c r="U11" s="69">
        <f>IF(AND(P11="ตัด D2",ISNUMBER(D11),ISNUMBER(F11)),D11*F11,"")</f>
        <v/>
      </c>
      <c r="V11" s="73" t="n"/>
      <c r="W11" s="70">
        <f>IF(C11="","",IF(AND(ISNUMBER(D11),D11=0),"✔ ไม่เคยทำ (ข้าม)",IF(COUNTA(D11:P11)=0,"○ ยังไม่เริ่ม",IF(IF(D11="","จำนวน/ปี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","")="","✔ ครบ","⏳ ขาด: "&amp;TRIM(IF(D11="","จำนวน/ปี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",""))))))</f>
        <v/>
      </c>
    </row>
    <row r="12">
      <c r="A12" s="69" t="n">
        <v>6</v>
      </c>
      <c r="B12" s="70" t="inlineStr">
        <is>
          <t>การเงินและพัสดุ</t>
        </is>
      </c>
      <c r="C12" s="71" t="inlineStr">
        <is>
          <t>จัดซื้อครุภัณฑ์ตามแผน</t>
        </is>
      </c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69">
        <f>IF(COUNTA(G12:I12,M12)&lt;4,"",Settings!$C$5*(G12="Yes")+Settings!$C$6*(H12="Yes")+Settings!$C$7*(I12="Yes")+Settings!$C$8*(M12="No"))</f>
        <v/>
      </c>
      <c r="S12" s="69">
        <f>IF(R12="","",IF(R12&gt;=Settings!$C$13,"สูง",IF(R12&gt;=Settings!$C$12,"ปานกลาง","ต่ำ")))</f>
        <v/>
      </c>
      <c r="T12" s="70">
        <f>IF(OR(S12="",P12=""),"",IF(AND(S12="สูง",P12="ตัด D2"),"⚠ เสี่ยงสูงแต่เสนอตัด D2 — ควรทบทวน",IF(AND(S12="ต่ำ",P12="คง D2"),"ℹ เสี่ยงต่ำแต่เสนอคง D2 — อาจควบคุมเกินจำเป็น",IF(AND(P12="เปลี่ยนเป็นหน่วยงานผู้เชี่ยวชาญ",M12="No"),"⚠ เสนอโอน แต่ตอบว่ายังไม่มีผู้เชี่ยวชาญตรวจ",IF(AND(P12="เปลี่ยนเป็นหน่วยงานผู้เชี่ยวชาญ",Q12=""),"⚠ ยังไม่ระบุหน่วยงานผู้เชี่ยวชาญ","")))))</f>
        <v/>
      </c>
      <c r="U12" s="69">
        <f>IF(AND(P12="ตัด D2",ISNUMBER(D12),ISNUMBER(F12)),D12*F12,"")</f>
        <v/>
      </c>
      <c r="V12" s="73" t="n"/>
      <c r="W12" s="70">
        <f>IF(C12="","",IF(AND(ISNUMBER(D12),D12=0),"✔ ไม่เคยทำ (ข้าม)",IF(COUNTA(D12:P12)=0,"○ ยังไม่เริ่ม",IF(IF(D12="","จำนวน/ปี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","")="","✔ ครบ","⏳ ขาด: "&amp;TRIM(IF(D12="","จำนวน/ปี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",""))))))</f>
        <v/>
      </c>
    </row>
    <row r="13">
      <c r="A13" s="69" t="n">
        <v>7</v>
      </c>
      <c r="B13" s="70" t="inlineStr">
        <is>
          <t>การเงินและพัสดุ</t>
        </is>
      </c>
      <c r="C13" s="71" t="inlineStr">
        <is>
          <t>จัดซื้อครุภัณฑ์นอกแผน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69">
        <f>IF(COUNTA(G13:I13,M13)&lt;4,"",Settings!$C$5*(G13="Yes")+Settings!$C$6*(H13="Yes")+Settings!$C$7*(I13="Yes")+Settings!$C$8*(M13="No"))</f>
        <v/>
      </c>
      <c r="S13" s="69">
        <f>IF(R13="","",IF(R13&gt;=Settings!$C$13,"สูง",IF(R13&gt;=Settings!$C$12,"ปานกลาง","ต่ำ")))</f>
        <v/>
      </c>
      <c r="T13" s="70">
        <f>IF(OR(S13="",P13=""),"",IF(AND(S13="สูง",P13="ตัด D2"),"⚠ เสี่ยงสูงแต่เสนอตัด D2 — ควรทบทวน",IF(AND(S13="ต่ำ",P13="คง D2"),"ℹ เสี่ยงต่ำแต่เสนอคง D2 — อาจควบคุมเกินจำเป็น",IF(AND(P13="เปลี่ยนเป็นหน่วยงานผู้เชี่ยวชาญ",M13="No"),"⚠ เสนอโอน แต่ตอบว่ายังไม่มีผู้เชี่ยวชาญตรวจ",IF(AND(P13="เปลี่ยนเป็นหน่วยงานผู้เชี่ยวชาญ",Q13=""),"⚠ ยังไม่ระบุหน่วยงานผู้เชี่ยวชาญ","")))))</f>
        <v/>
      </c>
      <c r="U13" s="69">
        <f>IF(AND(P13="ตัด D2",ISNUMBER(D13),ISNUMBER(F13)),D13*F13,"")</f>
        <v/>
      </c>
      <c r="V13" s="73" t="n"/>
      <c r="W13" s="70">
        <f>IF(C13="","",IF(AND(ISNUMBER(D13),D13=0),"✔ ไม่เคยทำ (ข้าม)",IF(COUNTA(D13:P13)=0,"○ ยังไม่เริ่ม",IF(IF(D13="","จำนวน/ปี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","")="","✔ ครบ","⏳ ขาด: "&amp;TRIM(IF(D13="","จำนวน/ปี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",""))))))</f>
        <v/>
      </c>
    </row>
    <row r="14">
      <c r="A14" s="69" t="n">
        <v>8</v>
      </c>
      <c r="B14" s="70" t="inlineStr">
        <is>
          <t>การเงินและพัสดุ</t>
        </is>
      </c>
      <c r="C14" s="71" t="inlineStr">
        <is>
          <t>ขออนุมัติ TOR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69">
        <f>IF(COUNTA(G14:I14,M14)&lt;4,"",Settings!$C$5*(G14="Yes")+Settings!$C$6*(H14="Yes")+Settings!$C$7*(I14="Yes")+Settings!$C$8*(M14="No"))</f>
        <v/>
      </c>
      <c r="S14" s="69">
        <f>IF(R14="","",IF(R14&gt;=Settings!$C$13,"สูง",IF(R14&gt;=Settings!$C$12,"ปานกลาง","ต่ำ")))</f>
        <v/>
      </c>
      <c r="T14" s="70">
        <f>IF(OR(S14="",P14=""),"",IF(AND(S14="สูง",P14="ตัด D2"),"⚠ เสี่ยงสูงแต่เสนอตัด D2 — ควรทบทวน",IF(AND(S14="ต่ำ",P14="คง D2"),"ℹ เสี่ยงต่ำแต่เสนอคง D2 — อาจควบคุมเกินจำเป็น",IF(AND(P14="เปลี่ยนเป็นหน่วยงานผู้เชี่ยวชาญ",M14="No"),"⚠ เสนอโอน แต่ตอบว่ายังไม่มีผู้เชี่ยวชาญตรวจ",IF(AND(P14="เปลี่ยนเป็นหน่วยงานผู้เชี่ยวชาญ",Q14=""),"⚠ ยังไม่ระบุหน่วยงานผู้เชี่ยวชาญ","")))))</f>
        <v/>
      </c>
      <c r="U14" s="69">
        <f>IF(AND(P14="ตัด D2",ISNUMBER(D14),ISNUMBER(F14)),D14*F14,"")</f>
        <v/>
      </c>
      <c r="V14" s="73" t="n"/>
      <c r="W14" s="70">
        <f>IF(C14="","",IF(AND(ISNUMBER(D14),D14=0),"✔ ไม่เคยทำ (ข้าม)",IF(COUNTA(D14:P14)=0,"○ ยังไม่เริ่ม",IF(IF(D14="","จำนวน/ปี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","")="","✔ ครบ","⏳ ขาด: "&amp;TRIM(IF(D14="","จำนวน/ปี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",""))))))</f>
        <v/>
      </c>
    </row>
    <row r="15">
      <c r="A15" s="69" t="n">
        <v>9</v>
      </c>
      <c r="B15" s="70" t="inlineStr">
        <is>
          <t>การเงินและพัสดุ</t>
        </is>
      </c>
      <c r="C15" s="71" t="inlineStr">
        <is>
          <t>ขออนุมัติราคากลาง</t>
        </is>
      </c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69">
        <f>IF(COUNTA(G15:I15,M15)&lt;4,"",Settings!$C$5*(G15="Yes")+Settings!$C$6*(H15="Yes")+Settings!$C$7*(I15="Yes")+Settings!$C$8*(M15="No"))</f>
        <v/>
      </c>
      <c r="S15" s="69">
        <f>IF(R15="","",IF(R15&gt;=Settings!$C$13,"สูง",IF(R15&gt;=Settings!$C$12,"ปานกลาง","ต่ำ")))</f>
        <v/>
      </c>
      <c r="T15" s="70">
        <f>IF(OR(S15="",P15=""),"",IF(AND(S15="สูง",P15="ตัด D2"),"⚠ เสี่ยงสูงแต่เสนอตัด D2 — ควรทบทวน",IF(AND(S15="ต่ำ",P15="คง D2"),"ℹ เสี่ยงต่ำแต่เสนอคง D2 — อาจควบคุมเกินจำเป็น",IF(AND(P15="เปลี่ยนเป็นหน่วยงานผู้เชี่ยวชาญ",M15="No"),"⚠ เสนอโอน แต่ตอบว่ายังไม่มีผู้เชี่ยวชาญตรวจ",IF(AND(P15="เปลี่ยนเป็นหน่วยงานผู้เชี่ยวชาญ",Q15=""),"⚠ ยังไม่ระบุหน่วยงานผู้เชี่ยวชาญ","")))))</f>
        <v/>
      </c>
      <c r="U15" s="69">
        <f>IF(AND(P15="ตัด D2",ISNUMBER(D15),ISNUMBER(F15)),D15*F15,"")</f>
        <v/>
      </c>
      <c r="V15" s="73" t="n"/>
      <c r="W15" s="70">
        <f>IF(C15="","",IF(AND(ISNUMBER(D15),D15=0),"✔ ไม่เคยทำ (ข้าม)",IF(COUNTA(D15:P15)=0,"○ ยังไม่เริ่ม",IF(IF(D15="","จำนวน/ปี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","")="","✔ ครบ","⏳ ขาด: "&amp;TRIM(IF(D15="","จำนวน/ปี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",""))))))</f>
        <v/>
      </c>
    </row>
    <row r="16">
      <c r="A16" s="69" t="n">
        <v>10</v>
      </c>
      <c r="B16" s="70" t="inlineStr">
        <is>
          <t>การเงินและพัสดุ</t>
        </is>
      </c>
      <c r="C16" s="71" t="inlineStr">
        <is>
          <t>แต่งตั้งคณะกรรมการจัดซื้อจัดจ้าง</t>
        </is>
      </c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69">
        <f>IF(COUNTA(G16:I16,M16)&lt;4,"",Settings!$C$5*(G16="Yes")+Settings!$C$6*(H16="Yes")+Settings!$C$7*(I16="Yes")+Settings!$C$8*(M16="No"))</f>
        <v/>
      </c>
      <c r="S16" s="69">
        <f>IF(R16="","",IF(R16&gt;=Settings!$C$13,"สูง",IF(R16&gt;=Settings!$C$12,"ปานกลาง","ต่ำ")))</f>
        <v/>
      </c>
      <c r="T16" s="70">
        <f>IF(OR(S16="",P16=""),"",IF(AND(S16="สูง",P16="ตัด D2"),"⚠ เสี่ยงสูงแต่เสนอตัด D2 — ควรทบทวน",IF(AND(S16="ต่ำ",P16="คง D2"),"ℹ เสี่ยงต่ำแต่เสนอคง D2 — อาจควบคุมเกินจำเป็น",IF(AND(P16="เปลี่ยนเป็นหน่วยงานผู้เชี่ยวชาญ",M16="No"),"⚠ เสนอโอน แต่ตอบว่ายังไม่มีผู้เชี่ยวชาญตรวจ",IF(AND(P16="เปลี่ยนเป็นหน่วยงานผู้เชี่ยวชาญ",Q16=""),"⚠ ยังไม่ระบุหน่วยงานผู้เชี่ยวชาญ","")))))</f>
        <v/>
      </c>
      <c r="U16" s="69">
        <f>IF(AND(P16="ตัด D2",ISNUMBER(D16),ISNUMBER(F16)),D16*F16,"")</f>
        <v/>
      </c>
      <c r="V16" s="73" t="n"/>
      <c r="W16" s="70">
        <f>IF(C16="","",IF(AND(ISNUMBER(D16),D16=0),"✔ ไม่เคยทำ (ข้าม)",IF(COUNTA(D16:P16)=0,"○ ยังไม่เริ่ม",IF(IF(D16="","จำนวน/ปี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","")="","✔ ครบ","⏳ ขาด: "&amp;TRIM(IF(D16="","จำนวน/ปี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",""))))))</f>
        <v/>
      </c>
    </row>
    <row r="17">
      <c r="A17" s="69" t="n">
        <v>11</v>
      </c>
      <c r="B17" s="70" t="inlineStr">
        <is>
          <t>การเงินและพัสดุ</t>
        </is>
      </c>
      <c r="C17" s="71" t="inlineStr">
        <is>
          <t>อนุมัติผลการจัดซื้อจัดจ้าง</t>
        </is>
      </c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69">
        <f>IF(COUNTA(G17:I17,M17)&lt;4,"",Settings!$C$5*(G17="Yes")+Settings!$C$6*(H17="Yes")+Settings!$C$7*(I17="Yes")+Settings!$C$8*(M17="No"))</f>
        <v/>
      </c>
      <c r="S17" s="69">
        <f>IF(R17="","",IF(R17&gt;=Settings!$C$13,"สูง",IF(R17&gt;=Settings!$C$12,"ปานกลาง","ต่ำ")))</f>
        <v/>
      </c>
      <c r="T17" s="70">
        <f>IF(OR(S17="",P17=""),"",IF(AND(S17="สูง",P17="ตัด D2"),"⚠ เสี่ยงสูงแต่เสนอตัด D2 — ควรทบทวน",IF(AND(S17="ต่ำ",P17="คง D2"),"ℹ เสี่ยงต่ำแต่เสนอคง D2 — อาจควบคุมเกินจำเป็น",IF(AND(P17="เปลี่ยนเป็นหน่วยงานผู้เชี่ยวชาญ",M17="No"),"⚠ เสนอโอน แต่ตอบว่ายังไม่มีผู้เชี่ยวชาญตรวจ",IF(AND(P17="เปลี่ยนเป็นหน่วยงานผู้เชี่ยวชาญ",Q17=""),"⚠ ยังไม่ระบุหน่วยงานผู้เชี่ยวชาญ","")))))</f>
        <v/>
      </c>
      <c r="U17" s="69">
        <f>IF(AND(P17="ตัด D2",ISNUMBER(D17),ISNUMBER(F17)),D17*F17,"")</f>
        <v/>
      </c>
      <c r="V17" s="73" t="n"/>
      <c r="W17" s="70">
        <f>IF(C17="","",IF(AND(ISNUMBER(D17),D17=0),"✔ ไม่เคยทำ (ข้าม)",IF(COUNTA(D17:P17)=0,"○ ยังไม่เริ่ม",IF(IF(D17="","จำนวน/ปี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","")="","✔ ครบ","⏳ ขาด: "&amp;TRIM(IF(D17="","จำนวน/ปี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",""))))))</f>
        <v/>
      </c>
    </row>
    <row r="18">
      <c r="A18" s="69" t="n">
        <v>12</v>
      </c>
      <c r="B18" s="70" t="inlineStr">
        <is>
          <t>การเงินและพัสดุ</t>
        </is>
      </c>
      <c r="C18" s="71" t="inlineStr">
        <is>
          <t>ขอขยายสัญญา</t>
        </is>
      </c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69">
        <f>IF(COUNTA(G18:I18,M18)&lt;4,"",Settings!$C$5*(G18="Yes")+Settings!$C$6*(H18="Yes")+Settings!$C$7*(I18="Yes")+Settings!$C$8*(M18="No"))</f>
        <v/>
      </c>
      <c r="S18" s="69">
        <f>IF(R18="","",IF(R18&gt;=Settings!$C$13,"สูง",IF(R18&gt;=Settings!$C$12,"ปานกลาง","ต่ำ")))</f>
        <v/>
      </c>
      <c r="T18" s="70">
        <f>IF(OR(S18="",P18=""),"",IF(AND(S18="สูง",P18="ตัด D2"),"⚠ เสี่ยงสูงแต่เสนอตัด D2 — ควรทบทวน",IF(AND(S18="ต่ำ",P18="คง D2"),"ℹ เสี่ยงต่ำแต่เสนอคง D2 — อาจควบคุมเกินจำเป็น",IF(AND(P18="เปลี่ยนเป็นหน่วยงานผู้เชี่ยวชาญ",M18="No"),"⚠ เสนอโอน แต่ตอบว่ายังไม่มีผู้เชี่ยวชาญตรวจ",IF(AND(P18="เปลี่ยนเป็นหน่วยงานผู้เชี่ยวชาญ",Q18=""),"⚠ ยังไม่ระบุหน่วยงานผู้เชี่ยวชาญ","")))))</f>
        <v/>
      </c>
      <c r="U18" s="69">
        <f>IF(AND(P18="ตัด D2",ISNUMBER(D18),ISNUMBER(F18)),D18*F18,"")</f>
        <v/>
      </c>
      <c r="V18" s="73" t="n"/>
      <c r="W18" s="70">
        <f>IF(C18="","",IF(AND(ISNUMBER(D18),D18=0),"✔ ไม่เคยทำ (ข้าม)",IF(COUNTA(D18:P18)=0,"○ ยังไม่เริ่ม",IF(IF(D18="","จำนวน/ปี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","")="","✔ ครบ","⏳ ขาด: "&amp;TRIM(IF(D18="","จำนวน/ปี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",""))))))</f>
        <v/>
      </c>
    </row>
    <row r="19">
      <c r="A19" s="69" t="n">
        <v>13</v>
      </c>
      <c r="B19" s="70" t="inlineStr">
        <is>
          <t>การเงินและพัสดุ</t>
        </is>
      </c>
      <c r="C19" s="71" t="inlineStr">
        <is>
          <t>ตรวจรับพัสดุ</t>
        </is>
      </c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69">
        <f>IF(COUNTA(G19:I19,M19)&lt;4,"",Settings!$C$5*(G19="Yes")+Settings!$C$6*(H19="Yes")+Settings!$C$7*(I19="Yes")+Settings!$C$8*(M19="No"))</f>
        <v/>
      </c>
      <c r="S19" s="69">
        <f>IF(R19="","",IF(R19&gt;=Settings!$C$13,"สูง",IF(R19&gt;=Settings!$C$12,"ปานกลาง","ต่ำ")))</f>
        <v/>
      </c>
      <c r="T19" s="70">
        <f>IF(OR(S19="",P19=""),"",IF(AND(S19="สูง",P19="ตัด D2"),"⚠ เสี่ยงสูงแต่เสนอตัด D2 — ควรทบทวน",IF(AND(S19="ต่ำ",P19="คง D2"),"ℹ เสี่ยงต่ำแต่เสนอคง D2 — อาจควบคุมเกินจำเป็น",IF(AND(P19="เปลี่ยนเป็นหน่วยงานผู้เชี่ยวชาญ",M19="No"),"⚠ เสนอโอน แต่ตอบว่ายังไม่มีผู้เชี่ยวชาญตรวจ",IF(AND(P19="เปลี่ยนเป็นหน่วยงานผู้เชี่ยวชาญ",Q19=""),"⚠ ยังไม่ระบุหน่วยงานผู้เชี่ยวชาญ","")))))</f>
        <v/>
      </c>
      <c r="U19" s="69">
        <f>IF(AND(P19="ตัด D2",ISNUMBER(D19),ISNUMBER(F19)),D19*F19,"")</f>
        <v/>
      </c>
      <c r="V19" s="73" t="n"/>
      <c r="W19" s="70">
        <f>IF(C19="","",IF(AND(ISNUMBER(D19),D19=0),"✔ ไม่เคยทำ (ข้าม)",IF(COUNTA(D19:P19)=0,"○ ยังไม่เริ่ม",IF(IF(D19="","จำนวน/ปี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","")="","✔ ครบ","⏳ ขาด: "&amp;TRIM(IF(D19="","จำนวน/ปี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",""))))))</f>
        <v/>
      </c>
    </row>
    <row r="20">
      <c r="A20" s="69" t="n">
        <v>14</v>
      </c>
      <c r="B20" s="70" t="inlineStr">
        <is>
          <t>การเงินและพัสดุ</t>
        </is>
      </c>
      <c r="C20" s="71" t="inlineStr">
        <is>
          <t>เบิกจ่ายหลังตรวจรับ</t>
        </is>
      </c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69">
        <f>IF(COUNTA(G20:I20,M20)&lt;4,"",Settings!$C$5*(G20="Yes")+Settings!$C$6*(H20="Yes")+Settings!$C$7*(I20="Yes")+Settings!$C$8*(M20="No"))</f>
        <v/>
      </c>
      <c r="S20" s="69">
        <f>IF(R20="","",IF(R20&gt;=Settings!$C$13,"สูง",IF(R20&gt;=Settings!$C$12,"ปานกลาง","ต่ำ")))</f>
        <v/>
      </c>
      <c r="T20" s="70">
        <f>IF(OR(S20="",P20=""),"",IF(AND(S20="สูง",P20="ตัด D2"),"⚠ เสี่ยงสูงแต่เสนอตัด D2 — ควรทบทวน",IF(AND(S20="ต่ำ",P20="คง D2"),"ℹ เสี่ยงต่ำแต่เสนอคง D2 — อาจควบคุมเกินจำเป็น",IF(AND(P20="เปลี่ยนเป็นหน่วยงานผู้เชี่ยวชาญ",M20="No"),"⚠ เสนอโอน แต่ตอบว่ายังไม่มีผู้เชี่ยวชาญตรวจ",IF(AND(P20="เปลี่ยนเป็นหน่วยงานผู้เชี่ยวชาญ",Q20=""),"⚠ ยังไม่ระบุหน่วยงานผู้เชี่ยวชาญ","")))))</f>
        <v/>
      </c>
      <c r="U20" s="69">
        <f>IF(AND(P20="ตัด D2",ISNUMBER(D20),ISNUMBER(F20)),D20*F20,"")</f>
        <v/>
      </c>
      <c r="V20" s="73" t="n"/>
      <c r="W20" s="70">
        <f>IF(C20="","",IF(AND(ISNUMBER(D20),D20=0),"✔ ไม่เคยทำ (ข้าม)",IF(COUNTA(D20:P20)=0,"○ ยังไม่เริ่ม",IF(IF(D20="","จำนวน/ปี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","")="","✔ ครบ","⏳ ขาด: "&amp;TRIM(IF(D20="","จำนวน/ปี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",""))))))</f>
        <v/>
      </c>
    </row>
    <row r="21">
      <c r="A21" s="69" t="n">
        <v>15</v>
      </c>
      <c r="B21" s="70" t="inlineStr">
        <is>
          <t>การเงินและพัสดุ</t>
        </is>
      </c>
      <c r="C21" s="71" t="inlineStr">
        <is>
          <t>จำหน่ายพัสดุ</t>
        </is>
      </c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69">
        <f>IF(COUNTA(G21:I21,M21)&lt;4,"",Settings!$C$5*(G21="Yes")+Settings!$C$6*(H21="Yes")+Settings!$C$7*(I21="Yes")+Settings!$C$8*(M21="No"))</f>
        <v/>
      </c>
      <c r="S21" s="69">
        <f>IF(R21="","",IF(R21&gt;=Settings!$C$13,"สูง",IF(R21&gt;=Settings!$C$12,"ปานกลาง","ต่ำ")))</f>
        <v/>
      </c>
      <c r="T21" s="70">
        <f>IF(OR(S21="",P21=""),"",IF(AND(S21="สูง",P21="ตัด D2"),"⚠ เสี่ยงสูงแต่เสนอตัด D2 — ควรทบทวน",IF(AND(S21="ต่ำ",P21="คง D2"),"ℹ เสี่ยงต่ำแต่เสนอคง D2 — อาจควบคุมเกินจำเป็น",IF(AND(P21="เปลี่ยนเป็นหน่วยงานผู้เชี่ยวชาญ",M21="No"),"⚠ เสนอโอน แต่ตอบว่ายังไม่มีผู้เชี่ยวชาญตรวจ",IF(AND(P21="เปลี่ยนเป็นหน่วยงานผู้เชี่ยวชาญ",Q21=""),"⚠ ยังไม่ระบุหน่วยงานผู้เชี่ยวชาญ","")))))</f>
        <v/>
      </c>
      <c r="U21" s="69">
        <f>IF(AND(P21="ตัด D2",ISNUMBER(D21),ISNUMBER(F21)),D21*F21,"")</f>
        <v/>
      </c>
      <c r="V21" s="73" t="n"/>
      <c r="W21" s="70">
        <f>IF(C21="","",IF(AND(ISNUMBER(D21),D21=0),"✔ ไม่เคยทำ (ข้าม)",IF(COUNTA(D21:P21)=0,"○ ยังไม่เริ่ม",IF(IF(D21="","จำนวน/ปี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","")="","✔ ครบ","⏳ ขาด: "&amp;TRIM(IF(D21="","จำนวน/ปี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",""))))))</f>
        <v/>
      </c>
    </row>
    <row r="22">
      <c r="A22" s="69" t="n">
        <v>16</v>
      </c>
      <c r="B22" s="70" t="inlineStr">
        <is>
          <t>การเงินและพัสดุ</t>
        </is>
      </c>
      <c r="C22" s="71" t="inlineStr">
        <is>
          <t>จัดซื้อครุภัณฑ์นอกแผนที่มีผลกระทบต่อแผนงบประมาณคณะ</t>
        </is>
      </c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69">
        <f>IF(COUNTA(G22:I22,M22)&lt;4,"",Settings!$C$5*(G22="Yes")+Settings!$C$6*(H22="Yes")+Settings!$C$7*(I22="Yes")+Settings!$C$8*(M22="No"))</f>
        <v/>
      </c>
      <c r="S22" s="69">
        <f>IF(R22="","",IF(R22&gt;=Settings!$C$13,"สูง",IF(R22&gt;=Settings!$C$12,"ปานกลาง","ต่ำ")))</f>
        <v/>
      </c>
      <c r="T22" s="70">
        <f>IF(OR(S22="",P22=""),"",IF(AND(S22="สูง",P22="ตัด D2"),"⚠ เสี่ยงสูงแต่เสนอตัด D2 — ควรทบทวน",IF(AND(S22="ต่ำ",P22="คง D2"),"ℹ เสี่ยงต่ำแต่เสนอคง D2 — อาจควบคุมเกินจำเป็น",IF(AND(P22="เปลี่ยนเป็นหน่วยงานผู้เชี่ยวชาญ",M22="No"),"⚠ เสนอโอน แต่ตอบว่ายังไม่มีผู้เชี่ยวชาญตรวจ",IF(AND(P22="เปลี่ยนเป็นหน่วยงานผู้เชี่ยวชาญ",Q22=""),"⚠ ยังไม่ระบุหน่วยงานผู้เชี่ยวชาญ","")))))</f>
        <v/>
      </c>
      <c r="U22" s="69">
        <f>IF(AND(P22="ตัด D2",ISNUMBER(D22),ISNUMBER(F22)),D22*F22,"")</f>
        <v/>
      </c>
      <c r="V22" s="73" t="n"/>
      <c r="W22" s="70">
        <f>IF(C22="","",IF(AND(ISNUMBER(D22),D22=0),"✔ ไม่เคยทำ (ข้าม)",IF(COUNTA(D22:P22)=0,"○ ยังไม่เริ่ม",IF(IF(D22="","จำนวน/ปี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","")="","✔ ครบ","⏳ ขาด: "&amp;TRIM(IF(D22="","จำนวน/ปี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",""))))))</f>
        <v/>
      </c>
    </row>
    <row r="23">
      <c r="A23" s="69" t="n">
        <v>17</v>
      </c>
      <c r="B23" s="70" t="inlineStr">
        <is>
          <t>การเงินและพัสดุ</t>
        </is>
      </c>
      <c r="C23" s="71" t="inlineStr">
        <is>
          <t>จัดซื้อที่มีวงเงินสูงผิดปกติ</t>
        </is>
      </c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69">
        <f>IF(COUNTA(G23:I23,M23)&lt;4,"",Settings!$C$5*(G23="Yes")+Settings!$C$6*(H23="Yes")+Settings!$C$7*(I23="Yes")+Settings!$C$8*(M23="No"))</f>
        <v/>
      </c>
      <c r="S23" s="69">
        <f>IF(R23="","",IF(R23&gt;=Settings!$C$13,"สูง",IF(R23&gt;=Settings!$C$12,"ปานกลาง","ต่ำ")))</f>
        <v/>
      </c>
      <c r="T23" s="70">
        <f>IF(OR(S23="",P23=""),"",IF(AND(S23="สูง",P23="ตัด D2"),"⚠ เสี่ยงสูงแต่เสนอตัด D2 — ควรทบทวน",IF(AND(S23="ต่ำ",P23="คง D2"),"ℹ เสี่ยงต่ำแต่เสนอคง D2 — อาจควบคุมเกินจำเป็น",IF(AND(P23="เปลี่ยนเป็นหน่วยงานผู้เชี่ยวชาญ",M23="No"),"⚠ เสนอโอน แต่ตอบว่ายังไม่มีผู้เชี่ยวชาญตรวจ",IF(AND(P23="เปลี่ยนเป็นหน่วยงานผู้เชี่ยวชาญ",Q23=""),"⚠ ยังไม่ระบุหน่วยงานผู้เชี่ยวชาญ","")))))</f>
        <v/>
      </c>
      <c r="U23" s="69">
        <f>IF(AND(P23="ตัด D2",ISNUMBER(D23),ISNUMBER(F23)),D23*F23,"")</f>
        <v/>
      </c>
      <c r="V23" s="73" t="n"/>
      <c r="W23" s="70">
        <f>IF(C23="","",IF(AND(ISNUMBER(D23),D23=0),"✔ ไม่เคยทำ (ข้าม)",IF(COUNTA(D23:P23)=0,"○ ยังไม่เริ่ม",IF(IF(D23="","จำนวน/ปี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","")="","✔ ครบ","⏳ ขาด: "&amp;TRIM(IF(D23="","จำนวน/ปี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",""))))))</f>
        <v/>
      </c>
    </row>
    <row r="24">
      <c r="A24" s="69" t="n">
        <v>18</v>
      </c>
      <c r="B24" s="70" t="inlineStr">
        <is>
          <t>การเงินและพัสดุ</t>
        </is>
      </c>
      <c r="C24" s="71" t="inlineStr">
        <is>
          <t>การก่อสร้างหรือปรับปรุงอาคาร</t>
        </is>
      </c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69">
        <f>IF(COUNTA(G24:I24,M24)&lt;4,"",Settings!$C$5*(G24="Yes")+Settings!$C$6*(H24="Yes")+Settings!$C$7*(I24="Yes")+Settings!$C$8*(M24="No"))</f>
        <v/>
      </c>
      <c r="S24" s="69">
        <f>IF(R24="","",IF(R24&gt;=Settings!$C$13,"สูง",IF(R24&gt;=Settings!$C$12,"ปานกลาง","ต่ำ")))</f>
        <v/>
      </c>
      <c r="T24" s="70">
        <f>IF(OR(S24="",P24=""),"",IF(AND(S24="สูง",P24="ตัด D2"),"⚠ เสี่ยงสูงแต่เสนอตัด D2 — ควรทบทวน",IF(AND(S24="ต่ำ",P24="คง D2"),"ℹ เสี่ยงต่ำแต่เสนอคง D2 — อาจควบคุมเกินจำเป็น",IF(AND(P24="เปลี่ยนเป็นหน่วยงานผู้เชี่ยวชาญ",M24="No"),"⚠ เสนอโอน แต่ตอบว่ายังไม่มีผู้เชี่ยวชาญตรวจ",IF(AND(P24="เปลี่ยนเป็นหน่วยงานผู้เชี่ยวชาญ",Q24=""),"⚠ ยังไม่ระบุหน่วยงานผู้เชี่ยวชาญ","")))))</f>
        <v/>
      </c>
      <c r="U24" s="69">
        <f>IF(AND(P24="ตัด D2",ISNUMBER(D24),ISNUMBER(F24)),D24*F24,"")</f>
        <v/>
      </c>
      <c r="V24" s="73" t="n"/>
      <c r="W24" s="70">
        <f>IF(C24="","",IF(AND(ISNUMBER(D24),D24=0),"✔ ไม่เคยทำ (ข้าม)",IF(COUNTA(D24:P24)=0,"○ ยังไม่เริ่ม",IF(IF(D24="","จำนวน/ปี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","")="","✔ ครบ","⏳ ขาด: "&amp;TRIM(IF(D24="","จำนวน/ปี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",""))))))</f>
        <v/>
      </c>
    </row>
    <row r="25">
      <c r="A25" s="69" t="n">
        <v>19</v>
      </c>
      <c r="B25" s="70" t="inlineStr">
        <is>
          <t>การเงินและพัสดุ</t>
        </is>
      </c>
      <c r="C25" s="71" t="inlineStr">
        <is>
          <t>การจัดซื้อที่มีข้อร้องเรียนหรือข้อทักท้วง</t>
        </is>
      </c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69">
        <f>IF(COUNTA(G25:I25,M25)&lt;4,"",Settings!$C$5*(G25="Yes")+Settings!$C$6*(H25="Yes")+Settings!$C$7*(I25="Yes")+Settings!$C$8*(M25="No"))</f>
        <v/>
      </c>
      <c r="S25" s="69">
        <f>IF(R25="","",IF(R25&gt;=Settings!$C$13,"สูง",IF(R25&gt;=Settings!$C$12,"ปานกลาง","ต่ำ")))</f>
        <v/>
      </c>
      <c r="T25" s="70">
        <f>IF(OR(S25="",P25=""),"",IF(AND(S25="สูง",P25="ตัด D2"),"⚠ เสี่ยงสูงแต่เสนอตัด D2 — ควรทบทวน",IF(AND(S25="ต่ำ",P25="คง D2"),"ℹ เสี่ยงต่ำแต่เสนอคง D2 — อาจควบคุมเกินจำเป็น",IF(AND(P25="เปลี่ยนเป็นหน่วยงานผู้เชี่ยวชาญ",M25="No"),"⚠ เสนอโอน แต่ตอบว่ายังไม่มีผู้เชี่ยวชาญตรวจ",IF(AND(P25="เปลี่ยนเป็นหน่วยงานผู้เชี่ยวชาญ",Q25=""),"⚠ ยังไม่ระบุหน่วยงานผู้เชี่ยวชาญ","")))))</f>
        <v/>
      </c>
      <c r="U25" s="69">
        <f>IF(AND(P25="ตัด D2",ISNUMBER(D25),ISNUMBER(F25)),D25*F25,"")</f>
        <v/>
      </c>
      <c r="V25" s="73" t="n"/>
      <c r="W25" s="70">
        <f>IF(C25="","",IF(AND(ISNUMBER(D25),D25=0),"✔ ไม่เคยทำ (ข้าม)",IF(COUNTA(D25:P25)=0,"○ ยังไม่เริ่ม",IF(IF(D25="","จำนวน/ปี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","")="","✔ ครบ","⏳ ขาด: "&amp;TRIM(IF(D25="","จำนวน/ปี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",""))))))</f>
        <v/>
      </c>
    </row>
    <row r="26">
      <c r="A26" s="69" t="n">
        <v>20</v>
      </c>
      <c r="B26" s="70" t="inlineStr">
        <is>
          <t>การเงินและพัสดุ</t>
        </is>
      </c>
      <c r="C26" s="71" t="inlineStr">
        <is>
          <t>การจัดซื้อจัดจ้างกรณียกเว้นหรือใช้ดุลยพินิจพิเศษ</t>
        </is>
      </c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69">
        <f>IF(COUNTA(G26:I26,M26)&lt;4,"",Settings!$C$5*(G26="Yes")+Settings!$C$6*(H26="Yes")+Settings!$C$7*(I26="Yes")+Settings!$C$8*(M26="No"))</f>
        <v/>
      </c>
      <c r="S26" s="69">
        <f>IF(R26="","",IF(R26&gt;=Settings!$C$13,"สูง",IF(R26&gt;=Settings!$C$12,"ปานกลาง","ต่ำ")))</f>
        <v/>
      </c>
      <c r="T26" s="70">
        <f>IF(OR(S26="",P26=""),"",IF(AND(S26="สูง",P26="ตัด D2"),"⚠ เสี่ยงสูงแต่เสนอตัด D2 — ควรทบทวน",IF(AND(S26="ต่ำ",P26="คง D2"),"ℹ เสี่ยงต่ำแต่เสนอคง D2 — อาจควบคุมเกินจำเป็น",IF(AND(P26="เปลี่ยนเป็นหน่วยงานผู้เชี่ยวชาญ",M26="No"),"⚠ เสนอโอน แต่ตอบว่ายังไม่มีผู้เชี่ยวชาญตรวจ",IF(AND(P26="เปลี่ยนเป็นหน่วยงานผู้เชี่ยวชาญ",Q26=""),"⚠ ยังไม่ระบุหน่วยงานผู้เชี่ยวชาญ","")))))</f>
        <v/>
      </c>
      <c r="U26" s="69">
        <f>IF(AND(P26="ตัด D2",ISNUMBER(D26),ISNUMBER(F26)),D26*F26,"")</f>
        <v/>
      </c>
      <c r="V26" s="73" t="n"/>
      <c r="W26" s="70">
        <f>IF(C26="","",IF(AND(ISNUMBER(D26),D26=0),"✔ ไม่เคยทำ (ข้าม)",IF(COUNTA(D26:P26)=0,"○ ยังไม่เริ่ม",IF(IF(D26="","จำนวน/ปี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","")="","✔ ครบ","⏳ ขาด: "&amp;TRIM(IF(D26="","จำนวน/ปี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",""))))))</f>
        <v/>
      </c>
    </row>
    <row r="27">
      <c r="A27" s="69" t="n">
        <v>21</v>
      </c>
      <c r="B27" s="70" t="inlineStr">
        <is>
          <t>โครงการและกิจกรรม</t>
        </is>
      </c>
      <c r="C27" s="71" t="inlineStr">
        <is>
          <t>โครงการตามแผนปฏิบัติการ</t>
        </is>
      </c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69">
        <f>IF(COUNTA(G27:I27,M27)&lt;4,"",Settings!$C$5*(G27="Yes")+Settings!$C$6*(H27="Yes")+Settings!$C$7*(I27="Yes")+Settings!$C$8*(M27="No"))</f>
        <v/>
      </c>
      <c r="S27" s="69">
        <f>IF(R27="","",IF(R27&gt;=Settings!$C$13,"สูง",IF(R27&gt;=Settings!$C$12,"ปานกลาง","ต่ำ")))</f>
        <v/>
      </c>
      <c r="T27" s="70">
        <f>IF(OR(S27="",P27=""),"",IF(AND(S27="สูง",P27="ตัด D2"),"⚠ เสี่ยงสูงแต่เสนอตัด D2 — ควรทบทวน",IF(AND(S27="ต่ำ",P27="คง D2"),"ℹ เสี่ยงต่ำแต่เสนอคง D2 — อาจควบคุมเกินจำเป็น",IF(AND(P27="เปลี่ยนเป็นหน่วยงานผู้เชี่ยวชาญ",M27="No"),"⚠ เสนอโอน แต่ตอบว่ายังไม่มีผู้เชี่ยวชาญตรวจ",IF(AND(P27="เปลี่ยนเป็นหน่วยงานผู้เชี่ยวชาญ",Q27=""),"⚠ ยังไม่ระบุหน่วยงานผู้เชี่ยวชาญ","")))))</f>
        <v/>
      </c>
      <c r="U27" s="69">
        <f>IF(AND(P27="ตัด D2",ISNUMBER(D27),ISNUMBER(F27)),D27*F27,"")</f>
        <v/>
      </c>
      <c r="V27" s="73" t="n"/>
      <c r="W27" s="70">
        <f>IF(C27="","",IF(AND(ISNUMBER(D27),D27=0),"✔ ไม่เคยทำ (ข้าม)",IF(COUNTA(D27:P27)=0,"○ ยังไม่เริ่ม",IF(IF(D27="","จำนวน/ปี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","")="","✔ ครบ","⏳ ขาด: "&amp;TRIM(IF(D27="","จำนวน/ปี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",""))))))</f>
        <v/>
      </c>
    </row>
    <row r="28">
      <c r="A28" s="69" t="n">
        <v>22</v>
      </c>
      <c r="B28" s="70" t="inlineStr">
        <is>
          <t>โครงการและกิจกรรม</t>
        </is>
      </c>
      <c r="C28" s="71" t="inlineStr">
        <is>
          <t>เปลี่ยนแปลงกำหนดการกิจกรรม/รายการงบประมาณในโครงการ (ที่ได้รับอนุมัติแล้ว)</t>
        </is>
      </c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69">
        <f>IF(COUNTA(G28:I28,M28)&lt;4,"",Settings!$C$5*(G28="Yes")+Settings!$C$6*(H28="Yes")+Settings!$C$7*(I28="Yes")+Settings!$C$8*(M28="No"))</f>
        <v/>
      </c>
      <c r="S28" s="69">
        <f>IF(R28="","",IF(R28&gt;=Settings!$C$13,"สูง",IF(R28&gt;=Settings!$C$12,"ปานกลาง","ต่ำ")))</f>
        <v/>
      </c>
      <c r="T28" s="70">
        <f>IF(OR(S28="",P28=""),"",IF(AND(S28="สูง",P28="ตัด D2"),"⚠ เสี่ยงสูงแต่เสนอตัด D2 — ควรทบทวน",IF(AND(S28="ต่ำ",P28="คง D2"),"ℹ เสี่ยงต่ำแต่เสนอคง D2 — อาจควบคุมเกินจำเป็น",IF(AND(P28="เปลี่ยนเป็นหน่วยงานผู้เชี่ยวชาญ",M28="No"),"⚠ เสนอโอน แต่ตอบว่ายังไม่มีผู้เชี่ยวชาญตรวจ",IF(AND(P28="เปลี่ยนเป็นหน่วยงานผู้เชี่ยวชาญ",Q28=""),"⚠ ยังไม่ระบุหน่วยงานผู้เชี่ยวชาญ","")))))</f>
        <v/>
      </c>
      <c r="U28" s="69">
        <f>IF(AND(P28="ตัด D2",ISNUMBER(D28),ISNUMBER(F28)),D28*F28,"")</f>
        <v/>
      </c>
      <c r="V28" s="73" t="n"/>
      <c r="W28" s="70">
        <f>IF(C28="","",IF(AND(ISNUMBER(D28),D28=0),"✔ ไม่เคยทำ (ข้าม)",IF(COUNTA(D28:P28)=0,"○ ยังไม่เริ่ม",IF(IF(D28="","จำนวน/ปี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","")="","✔ ครบ","⏳ ขาด: "&amp;TRIM(IF(D28="","จำนวน/ปี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",""))))))</f>
        <v/>
      </c>
    </row>
    <row r="29">
      <c r="A29" s="69" t="n">
        <v>23</v>
      </c>
      <c r="B29" s="70" t="inlineStr">
        <is>
          <t>โครงการและกิจกรรม</t>
        </is>
      </c>
      <c r="C29" s="71" t="inlineStr">
        <is>
          <t>รายงานผลโครงการ</t>
        </is>
      </c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69">
        <f>IF(COUNTA(G29:I29,M29)&lt;4,"",Settings!$C$5*(G29="Yes")+Settings!$C$6*(H29="Yes")+Settings!$C$7*(I29="Yes")+Settings!$C$8*(M29="No"))</f>
        <v/>
      </c>
      <c r="S29" s="69">
        <f>IF(R29="","",IF(R29&gt;=Settings!$C$13,"สูง",IF(R29&gt;=Settings!$C$12,"ปานกลาง","ต่ำ")))</f>
        <v/>
      </c>
      <c r="T29" s="70">
        <f>IF(OR(S29="",P29=""),"",IF(AND(S29="สูง",P29="ตัด D2"),"⚠ เสี่ยงสูงแต่เสนอตัด D2 — ควรทบทวน",IF(AND(S29="ต่ำ",P29="คง D2"),"ℹ เสี่ยงต่ำแต่เสนอคง D2 — อาจควบคุมเกินจำเป็น",IF(AND(P29="เปลี่ยนเป็นหน่วยงานผู้เชี่ยวชาญ",M29="No"),"⚠ เสนอโอน แต่ตอบว่ายังไม่มีผู้เชี่ยวชาญตรวจ",IF(AND(P29="เปลี่ยนเป็นหน่วยงานผู้เชี่ยวชาญ",Q29=""),"⚠ ยังไม่ระบุหน่วยงานผู้เชี่ยวชาญ","")))))</f>
        <v/>
      </c>
      <c r="U29" s="69">
        <f>IF(AND(P29="ตัด D2",ISNUMBER(D29),ISNUMBER(F29)),D29*F29,"")</f>
        <v/>
      </c>
      <c r="V29" s="73" t="n"/>
      <c r="W29" s="70">
        <f>IF(C29="","",IF(AND(ISNUMBER(D29),D29=0),"✔ ไม่เคยทำ (ข้าม)",IF(COUNTA(D29:P29)=0,"○ ยังไม่เริ่ม",IF(IF(D29="","จำนวน/ปี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","")="","✔ ครบ","⏳ ขาด: "&amp;TRIM(IF(D29="","จำนวน/ปี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",""))))))</f>
        <v/>
      </c>
    </row>
    <row r="30">
      <c r="A30" s="69" t="n">
        <v>24</v>
      </c>
      <c r="B30" s="70" t="inlineStr">
        <is>
          <t>โครงการและกิจกรรม</t>
        </is>
      </c>
      <c r="C30" s="71" t="inlineStr">
        <is>
          <t>โครงการนอกแผน</t>
        </is>
      </c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69">
        <f>IF(COUNTA(G30:I30,M30)&lt;4,"",Settings!$C$5*(G30="Yes")+Settings!$C$6*(H30="Yes")+Settings!$C$7*(I30="Yes")+Settings!$C$8*(M30="No"))</f>
        <v/>
      </c>
      <c r="S30" s="69">
        <f>IF(R30="","",IF(R30&gt;=Settings!$C$13,"สูง",IF(R30&gt;=Settings!$C$12,"ปานกลาง","ต่ำ")))</f>
        <v/>
      </c>
      <c r="T30" s="70">
        <f>IF(OR(S30="",P30=""),"",IF(AND(S30="สูง",P30="ตัด D2"),"⚠ เสี่ยงสูงแต่เสนอตัด D2 — ควรทบทวน",IF(AND(S30="ต่ำ",P30="คง D2"),"ℹ เสี่ยงต่ำแต่เสนอคง D2 — อาจควบคุมเกินจำเป็น",IF(AND(P30="เปลี่ยนเป็นหน่วยงานผู้เชี่ยวชาญ",M30="No"),"⚠ เสนอโอน แต่ตอบว่ายังไม่มีผู้เชี่ยวชาญตรวจ",IF(AND(P30="เปลี่ยนเป็นหน่วยงานผู้เชี่ยวชาญ",Q30=""),"⚠ ยังไม่ระบุหน่วยงานผู้เชี่ยวชาญ","")))))</f>
        <v/>
      </c>
      <c r="U30" s="69">
        <f>IF(AND(P30="ตัด D2",ISNUMBER(D30),ISNUMBER(F30)),D30*F30,"")</f>
        <v/>
      </c>
      <c r="V30" s="73" t="n"/>
      <c r="W30" s="70">
        <f>IF(C30="","",IF(AND(ISNUMBER(D30),D30=0),"✔ ไม่เคยทำ (ข้าม)",IF(COUNTA(D30:P30)=0,"○ ยังไม่เริ่ม",IF(IF(D30="","จำนวน/ปี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","")="","✔ ครบ","⏳ ขาด: "&amp;TRIM(IF(D30="","จำนวน/ปี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",""))))))</f>
        <v/>
      </c>
    </row>
    <row r="31">
      <c r="A31" s="69" t="n">
        <v>25</v>
      </c>
      <c r="B31" s="70" t="inlineStr">
        <is>
          <t>HR: บริหารเวลาปฏิบัติงาน (บุคลากรสายสนับสนุน)</t>
        </is>
      </c>
      <c r="C31" s="71" t="inlineStr">
        <is>
          <t>ลาพักผ่อน</t>
        </is>
      </c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69">
        <f>IF(COUNTA(G31:I31,M31)&lt;4,"",Settings!$C$5*(G31="Yes")+Settings!$C$6*(H31="Yes")+Settings!$C$7*(I31="Yes")+Settings!$C$8*(M31="No"))</f>
        <v/>
      </c>
      <c r="S31" s="69">
        <f>IF(R31="","",IF(R31&gt;=Settings!$C$13,"สูง",IF(R31&gt;=Settings!$C$12,"ปานกลาง","ต่ำ")))</f>
        <v/>
      </c>
      <c r="T31" s="70">
        <f>IF(OR(S31="",P31=""),"",IF(AND(S31="สูง",P31="ตัด D2"),"⚠ เสี่ยงสูงแต่เสนอตัด D2 — ควรทบทวน",IF(AND(S31="ต่ำ",P31="คง D2"),"ℹ เสี่ยงต่ำแต่เสนอคง D2 — อาจควบคุมเกินจำเป็น",IF(AND(P31="เปลี่ยนเป็นหน่วยงานผู้เชี่ยวชาญ",M31="No"),"⚠ เสนอโอน แต่ตอบว่ายังไม่มีผู้เชี่ยวชาญตรวจ",IF(AND(P31="เปลี่ยนเป็นหน่วยงานผู้เชี่ยวชาญ",Q31=""),"⚠ ยังไม่ระบุหน่วยงานผู้เชี่ยวชาญ","")))))</f>
        <v/>
      </c>
      <c r="U31" s="69">
        <f>IF(AND(P31="ตัด D2",ISNUMBER(D31),ISNUMBER(F31)),D31*F31,"")</f>
        <v/>
      </c>
      <c r="V31" s="73" t="n"/>
      <c r="W31" s="70">
        <f>IF(C31="","",IF(AND(ISNUMBER(D31),D31=0),"✔ ไม่เคยทำ (ข้าม)",IF(COUNTA(D31:P31)=0,"○ ยังไม่เริ่ม",IF(IF(D31="","จำนวน/ปี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","")="","✔ ครบ","⏳ ขาด: "&amp;TRIM(IF(D31="","จำนวน/ปี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",""))))))</f>
        <v/>
      </c>
    </row>
    <row r="32">
      <c r="A32" s="69" t="n">
        <v>26</v>
      </c>
      <c r="B32" s="70" t="inlineStr">
        <is>
          <t>HR: บริหารเวลาปฏิบัติงาน (บุคลากรสายสนับสนุน)</t>
        </is>
      </c>
      <c r="C32" s="71" t="inlineStr">
        <is>
          <t>ลาป่วย</t>
        </is>
      </c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69">
        <f>IF(COUNTA(G32:I32,M32)&lt;4,"",Settings!$C$5*(G32="Yes")+Settings!$C$6*(H32="Yes")+Settings!$C$7*(I32="Yes")+Settings!$C$8*(M32="No"))</f>
        <v/>
      </c>
      <c r="S32" s="69">
        <f>IF(R32="","",IF(R32&gt;=Settings!$C$13,"สูง",IF(R32&gt;=Settings!$C$12,"ปานกลาง","ต่ำ")))</f>
        <v/>
      </c>
      <c r="T32" s="70">
        <f>IF(OR(S32="",P32=""),"",IF(AND(S32="สูง",P32="ตัด D2"),"⚠ เสี่ยงสูงแต่เสนอตัด D2 — ควรทบทวน",IF(AND(S32="ต่ำ",P32="คง D2"),"ℹ เสี่ยงต่ำแต่เสนอคง D2 — อาจควบคุมเกินจำเป็น",IF(AND(P32="เปลี่ยนเป็นหน่วยงานผู้เชี่ยวชาญ",M32="No"),"⚠ เสนอโอน แต่ตอบว่ายังไม่มีผู้เชี่ยวชาญตรวจ",IF(AND(P32="เปลี่ยนเป็นหน่วยงานผู้เชี่ยวชาญ",Q32=""),"⚠ ยังไม่ระบุหน่วยงานผู้เชี่ยวชาญ","")))))</f>
        <v/>
      </c>
      <c r="U32" s="69">
        <f>IF(AND(P32="ตัด D2",ISNUMBER(D32),ISNUMBER(F32)),D32*F32,"")</f>
        <v/>
      </c>
      <c r="V32" s="73" t="n"/>
      <c r="W32" s="70">
        <f>IF(C32="","",IF(AND(ISNUMBER(D32),D32=0),"✔ ไม่เคยทำ (ข้าม)",IF(COUNTA(D32:P32)=0,"○ ยังไม่เริ่ม",IF(IF(D32="","จำนวน/ปี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","")="","✔ ครบ","⏳ ขาด: "&amp;TRIM(IF(D32="","จำนวน/ปี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",""))))))</f>
        <v/>
      </c>
    </row>
    <row r="33">
      <c r="A33" s="69" t="n">
        <v>27</v>
      </c>
      <c r="B33" s="70" t="inlineStr">
        <is>
          <t>HR: บริหารเวลาปฏิบัติงาน (บุคลากรสายสนับสนุน)</t>
        </is>
      </c>
      <c r="C33" s="71" t="inlineStr">
        <is>
          <t>ลากิจ</t>
        </is>
      </c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69">
        <f>IF(COUNTA(G33:I33,M33)&lt;4,"",Settings!$C$5*(G33="Yes")+Settings!$C$6*(H33="Yes")+Settings!$C$7*(I33="Yes")+Settings!$C$8*(M33="No"))</f>
        <v/>
      </c>
      <c r="S33" s="69">
        <f>IF(R33="","",IF(R33&gt;=Settings!$C$13,"สูง",IF(R33&gt;=Settings!$C$12,"ปานกลาง","ต่ำ")))</f>
        <v/>
      </c>
      <c r="T33" s="70">
        <f>IF(OR(S33="",P33=""),"",IF(AND(S33="สูง",P33="ตัด D2"),"⚠ เสี่ยงสูงแต่เสนอตัด D2 — ควรทบทวน",IF(AND(S33="ต่ำ",P33="คง D2"),"ℹ เสี่ยงต่ำแต่เสนอคง D2 — อาจควบคุมเกินจำเป็น",IF(AND(P33="เปลี่ยนเป็นหน่วยงานผู้เชี่ยวชาญ",M33="No"),"⚠ เสนอโอน แต่ตอบว่ายังไม่มีผู้เชี่ยวชาญตรวจ",IF(AND(P33="เปลี่ยนเป็นหน่วยงานผู้เชี่ยวชาญ",Q33=""),"⚠ ยังไม่ระบุหน่วยงานผู้เชี่ยวชาญ","")))))</f>
        <v/>
      </c>
      <c r="U33" s="69">
        <f>IF(AND(P33="ตัด D2",ISNUMBER(D33),ISNUMBER(F33)),D33*F33,"")</f>
        <v/>
      </c>
      <c r="V33" s="73" t="n"/>
      <c r="W33" s="70">
        <f>IF(C33="","",IF(AND(ISNUMBER(D33),D33=0),"✔ ไม่เคยทำ (ข้าม)",IF(COUNTA(D33:P33)=0,"○ ยังไม่เริ่ม",IF(IF(D33="","จำนวน/ปี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","")="","✔ ครบ","⏳ ขาด: "&amp;TRIM(IF(D33="","จำนวน/ปี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",""))))))</f>
        <v/>
      </c>
    </row>
    <row r="34">
      <c r="A34" s="69" t="n">
        <v>28</v>
      </c>
      <c r="B34" s="70" t="inlineStr">
        <is>
          <t>HR: บริหารเวลาปฏิบัติงาน (บุคลากรสายสนับสนุน)</t>
        </is>
      </c>
      <c r="C34" s="71" t="inlineStr">
        <is>
          <t>ลาคลอด</t>
        </is>
      </c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69">
        <f>IF(COUNTA(G34:I34,M34)&lt;4,"",Settings!$C$5*(G34="Yes")+Settings!$C$6*(H34="Yes")+Settings!$C$7*(I34="Yes")+Settings!$C$8*(M34="No"))</f>
        <v/>
      </c>
      <c r="S34" s="69">
        <f>IF(R34="","",IF(R34&gt;=Settings!$C$13,"สูง",IF(R34&gt;=Settings!$C$12,"ปานกลาง","ต่ำ")))</f>
        <v/>
      </c>
      <c r="T34" s="70">
        <f>IF(OR(S34="",P34=""),"",IF(AND(S34="สูง",P34="ตัด D2"),"⚠ เสี่ยงสูงแต่เสนอตัด D2 — ควรทบทวน",IF(AND(S34="ต่ำ",P34="คง D2"),"ℹ เสี่ยงต่ำแต่เสนอคง D2 — อาจควบคุมเกินจำเป็น",IF(AND(P34="เปลี่ยนเป็นหน่วยงานผู้เชี่ยวชาญ",M34="No"),"⚠ เสนอโอน แต่ตอบว่ายังไม่มีผู้เชี่ยวชาญตรวจ",IF(AND(P34="เปลี่ยนเป็นหน่วยงานผู้เชี่ยวชาญ",Q34=""),"⚠ ยังไม่ระบุหน่วยงานผู้เชี่ยวชาญ","")))))</f>
        <v/>
      </c>
      <c r="U34" s="69">
        <f>IF(AND(P34="ตัด D2",ISNUMBER(D34),ISNUMBER(F34)),D34*F34,"")</f>
        <v/>
      </c>
      <c r="V34" s="73" t="n"/>
      <c r="W34" s="70">
        <f>IF(C34="","",IF(AND(ISNUMBER(D34),D34=0),"✔ ไม่เคยทำ (ข้าม)",IF(COUNTA(D34:P34)=0,"○ ยังไม่เริ่ม",IF(IF(D34="","จำนวน/ปี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","")="","✔ ครบ","⏳ ขาด: "&amp;TRIM(IF(D34="","จำนวน/ปี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",""))))))</f>
        <v/>
      </c>
    </row>
    <row r="35">
      <c r="A35" s="69" t="n">
        <v>29</v>
      </c>
      <c r="B35" s="70" t="inlineStr">
        <is>
          <t>HR: บริหารเวลาปฏิบัติงาน (บุคลากรสายสนับสนุน)</t>
        </is>
      </c>
      <c r="C35" s="71" t="inlineStr">
        <is>
          <t>ลาอุปสมบท</t>
        </is>
      </c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69">
        <f>IF(COUNTA(G35:I35,M35)&lt;4,"",Settings!$C$5*(G35="Yes")+Settings!$C$6*(H35="Yes")+Settings!$C$7*(I35="Yes")+Settings!$C$8*(M35="No"))</f>
        <v/>
      </c>
      <c r="S35" s="69">
        <f>IF(R35="","",IF(R35&gt;=Settings!$C$13,"สูง",IF(R35&gt;=Settings!$C$12,"ปานกลาง","ต่ำ")))</f>
        <v/>
      </c>
      <c r="T35" s="70">
        <f>IF(OR(S35="",P35=""),"",IF(AND(S35="สูง",P35="ตัด D2"),"⚠ เสี่ยงสูงแต่เสนอตัด D2 — ควรทบทวน",IF(AND(S35="ต่ำ",P35="คง D2"),"ℹ เสี่ยงต่ำแต่เสนอคง D2 — อาจควบคุมเกินจำเป็น",IF(AND(P35="เปลี่ยนเป็นหน่วยงานผู้เชี่ยวชาญ",M35="No"),"⚠ เสนอโอน แต่ตอบว่ายังไม่มีผู้เชี่ยวชาญตรวจ",IF(AND(P35="เปลี่ยนเป็นหน่วยงานผู้เชี่ยวชาญ",Q35=""),"⚠ ยังไม่ระบุหน่วยงานผู้เชี่ยวชาญ","")))))</f>
        <v/>
      </c>
      <c r="U35" s="69">
        <f>IF(AND(P35="ตัด D2",ISNUMBER(D35),ISNUMBER(F35)),D35*F35,"")</f>
        <v/>
      </c>
      <c r="V35" s="73" t="n"/>
      <c r="W35" s="70">
        <f>IF(C35="","",IF(AND(ISNUMBER(D35),D35=0),"✔ ไม่เคยทำ (ข้าม)",IF(COUNTA(D35:P35)=0,"○ ยังไม่เริ่ม",IF(IF(D35="","จำนวน/ปี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","")="","✔ ครบ","⏳ ขาด: "&amp;TRIM(IF(D35="","จำนวน/ปี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",""))))))</f>
        <v/>
      </c>
    </row>
    <row r="36">
      <c r="A36" s="69" t="n">
        <v>30</v>
      </c>
      <c r="B36" s="70" t="inlineStr">
        <is>
          <t>HR: บริหารเวลาปฏิบัติงาน (บุคลากรสายสนับสนุน)</t>
        </is>
      </c>
      <c r="C36" s="71" t="inlineStr">
        <is>
          <t>ลาไปช่วยเหลือภริยาคลอดบุตร</t>
        </is>
      </c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69">
        <f>IF(COUNTA(G36:I36,M36)&lt;4,"",Settings!$C$5*(G36="Yes")+Settings!$C$6*(H36="Yes")+Settings!$C$7*(I36="Yes")+Settings!$C$8*(M36="No"))</f>
        <v/>
      </c>
      <c r="S36" s="69">
        <f>IF(R36="","",IF(R36&gt;=Settings!$C$13,"สูง",IF(R36&gt;=Settings!$C$12,"ปานกลาง","ต่ำ")))</f>
        <v/>
      </c>
      <c r="T36" s="70">
        <f>IF(OR(S36="",P36=""),"",IF(AND(S36="สูง",P36="ตัด D2"),"⚠ เสี่ยงสูงแต่เสนอตัด D2 — ควรทบทวน",IF(AND(S36="ต่ำ",P36="คง D2"),"ℹ เสี่ยงต่ำแต่เสนอคง D2 — อาจควบคุมเกินจำเป็น",IF(AND(P36="เปลี่ยนเป็นหน่วยงานผู้เชี่ยวชาญ",M36="No"),"⚠ เสนอโอน แต่ตอบว่ายังไม่มีผู้เชี่ยวชาญตรวจ",IF(AND(P36="เปลี่ยนเป็นหน่วยงานผู้เชี่ยวชาญ",Q36=""),"⚠ ยังไม่ระบุหน่วยงานผู้เชี่ยวชาญ","")))))</f>
        <v/>
      </c>
      <c r="U36" s="69">
        <f>IF(AND(P36="ตัด D2",ISNUMBER(D36),ISNUMBER(F36)),D36*F36,"")</f>
        <v/>
      </c>
      <c r="V36" s="73" t="n"/>
      <c r="W36" s="70">
        <f>IF(C36="","",IF(AND(ISNUMBER(D36),D36=0),"✔ ไม่เคยทำ (ข้าม)",IF(COUNTA(D36:P36)=0,"○ ยังไม่เริ่ม",IF(IF(D36="","จำนวน/ปี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","")="","✔ ครบ","⏳ ขาด: "&amp;TRIM(IF(D36="","จำนวน/ปี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",""))))))</f>
        <v/>
      </c>
    </row>
    <row r="37">
      <c r="A37" s="69" t="n">
        <v>31</v>
      </c>
      <c r="B37" s="70" t="inlineStr">
        <is>
          <t>HR: บริหารเวลาปฏิบัติงาน (บุคลากรสายสนับสนุน)</t>
        </is>
      </c>
      <c r="C37" s="71" t="inlineStr">
        <is>
          <t>ปฏิบัติงานนอกสถานที่</t>
        </is>
      </c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69">
        <f>IF(COUNTA(G37:I37,M37)&lt;4,"",Settings!$C$5*(G37="Yes")+Settings!$C$6*(H37="Yes")+Settings!$C$7*(I37="Yes")+Settings!$C$8*(M37="No"))</f>
        <v/>
      </c>
      <c r="S37" s="69">
        <f>IF(R37="","",IF(R37&gt;=Settings!$C$13,"สูง",IF(R37&gt;=Settings!$C$12,"ปานกลาง","ต่ำ")))</f>
        <v/>
      </c>
      <c r="T37" s="70">
        <f>IF(OR(S37="",P37=""),"",IF(AND(S37="สูง",P37="ตัด D2"),"⚠ เสี่ยงสูงแต่เสนอตัด D2 — ควรทบทวน",IF(AND(S37="ต่ำ",P37="คง D2"),"ℹ เสี่ยงต่ำแต่เสนอคง D2 — อาจควบคุมเกินจำเป็น",IF(AND(P37="เปลี่ยนเป็นหน่วยงานผู้เชี่ยวชาญ",M37="No"),"⚠ เสนอโอน แต่ตอบว่ายังไม่มีผู้เชี่ยวชาญตรวจ",IF(AND(P37="เปลี่ยนเป็นหน่วยงานผู้เชี่ยวชาญ",Q37=""),"⚠ ยังไม่ระบุหน่วยงานผู้เชี่ยวชาญ","")))))</f>
        <v/>
      </c>
      <c r="U37" s="69">
        <f>IF(AND(P37="ตัด D2",ISNUMBER(D37),ISNUMBER(F37)),D37*F37,"")</f>
        <v/>
      </c>
      <c r="V37" s="73" t="n"/>
      <c r="W37" s="70">
        <f>IF(C37="","",IF(AND(ISNUMBER(D37),D37=0),"✔ ไม่เคยทำ (ข้าม)",IF(COUNTA(D37:P37)=0,"○ ยังไม่เริ่ม",IF(IF(D37="","จำนวน/ปี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","")="","✔ ครบ","⏳ ขาด: "&amp;TRIM(IF(D37="","จำนวน/ปี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",""))))))</f>
        <v/>
      </c>
    </row>
    <row r="38">
      <c r="A38" s="69" t="n">
        <v>32</v>
      </c>
      <c r="B38" s="70" t="inlineStr">
        <is>
          <t>HR: พัฒนาบุคลากร</t>
        </is>
      </c>
      <c r="C38" s="71" t="inlineStr">
        <is>
          <t>อบรมในประเทศ/ประชุมวิชาการ/สัมมนา/ศึกษาดูงานในประเทศ</t>
        </is>
      </c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69">
        <f>IF(COUNTA(G38:I38,M38)&lt;4,"",Settings!$C$5*(G38="Yes")+Settings!$C$6*(H38="Yes")+Settings!$C$7*(I38="Yes")+Settings!$C$8*(M38="No"))</f>
        <v/>
      </c>
      <c r="S38" s="69">
        <f>IF(R38="","",IF(R38&gt;=Settings!$C$13,"สูง",IF(R38&gt;=Settings!$C$12,"ปานกลาง","ต่ำ")))</f>
        <v/>
      </c>
      <c r="T38" s="70">
        <f>IF(OR(S38="",P38=""),"",IF(AND(S38="สูง",P38="ตัด D2"),"⚠ เสี่ยงสูงแต่เสนอตัด D2 — ควรทบทวน",IF(AND(S38="ต่ำ",P38="คง D2"),"ℹ เสี่ยงต่ำแต่เสนอคง D2 — อาจควบคุมเกินจำเป็น",IF(AND(P38="เปลี่ยนเป็นหน่วยงานผู้เชี่ยวชาญ",M38="No"),"⚠ เสนอโอน แต่ตอบว่ายังไม่มีผู้เชี่ยวชาญตรวจ",IF(AND(P38="เปลี่ยนเป็นหน่วยงานผู้เชี่ยวชาญ",Q38=""),"⚠ ยังไม่ระบุหน่วยงานผู้เชี่ยวชาญ","")))))</f>
        <v/>
      </c>
      <c r="U38" s="69">
        <f>IF(AND(P38="ตัด D2",ISNUMBER(D38),ISNUMBER(F38)),D38*F38,"")</f>
        <v/>
      </c>
      <c r="V38" s="73" t="n"/>
      <c r="W38" s="70">
        <f>IF(C38="","",IF(AND(ISNUMBER(D38),D38=0),"✔ ไม่เคยทำ (ข้าม)",IF(COUNTA(D38:P38)=0,"○ ยังไม่เริ่ม",IF(IF(D38="","จำนวน/ปี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","")="","✔ ครบ","⏳ ขาด: "&amp;TRIM(IF(D38="","จำนวน/ปี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",""))))))</f>
        <v/>
      </c>
    </row>
    <row r="39">
      <c r="A39" s="69" t="n">
        <v>33</v>
      </c>
      <c r="B39" s="70" t="inlineStr">
        <is>
          <t>HR: พัฒนาบุคลากร</t>
        </is>
      </c>
      <c r="C39" s="71" t="inlineStr">
        <is>
          <t>เข้าร่วมโครงการแลกเปลี่ยนระยะสั้น/ศึกษาดูงาน/อบรมต่างประเทศ/ศึกษาต่อ</t>
        </is>
      </c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69">
        <f>IF(COUNTA(G39:I39,M39)&lt;4,"",Settings!$C$5*(G39="Yes")+Settings!$C$6*(H39="Yes")+Settings!$C$7*(I39="Yes")+Settings!$C$8*(M39="No"))</f>
        <v/>
      </c>
      <c r="S39" s="69">
        <f>IF(R39="","",IF(R39&gt;=Settings!$C$13,"สูง",IF(R39&gt;=Settings!$C$12,"ปานกลาง","ต่ำ")))</f>
        <v/>
      </c>
      <c r="T39" s="70">
        <f>IF(OR(S39="",P39=""),"",IF(AND(S39="สูง",P39="ตัด D2"),"⚠ เสี่ยงสูงแต่เสนอตัด D2 — ควรทบทวน",IF(AND(S39="ต่ำ",P39="คง D2"),"ℹ เสี่ยงต่ำแต่เสนอคง D2 — อาจควบคุมเกินจำเป็น",IF(AND(P39="เปลี่ยนเป็นหน่วยงานผู้เชี่ยวชาญ",M39="No"),"⚠ เสนอโอน แต่ตอบว่ายังไม่มีผู้เชี่ยวชาญตรวจ",IF(AND(P39="เปลี่ยนเป็นหน่วยงานผู้เชี่ยวชาญ",Q39=""),"⚠ ยังไม่ระบุหน่วยงานผู้เชี่ยวชาญ","")))))</f>
        <v/>
      </c>
      <c r="U39" s="69">
        <f>IF(AND(P39="ตัด D2",ISNUMBER(D39),ISNUMBER(F39)),D39*F39,"")</f>
        <v/>
      </c>
      <c r="V39" s="73" t="n"/>
      <c r="W39" s="70">
        <f>IF(C39="","",IF(AND(ISNUMBER(D39),D39=0),"✔ ไม่เคยทำ (ข้าม)",IF(COUNTA(D39:P39)=0,"○ ยังไม่เริ่ม",IF(IF(D39="","จำนวน/ปี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","")="","✔ ครบ","⏳ ขาด: "&amp;TRIM(IF(D39="","จำนวน/ปี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",""))))))</f>
        <v/>
      </c>
    </row>
    <row r="40">
      <c r="A40" s="69" t="n">
        <v>34</v>
      </c>
      <c r="B40" s="70" t="inlineStr">
        <is>
          <t>HR: อัตรากำลังและสรรหา</t>
        </is>
      </c>
      <c r="C40" s="71" t="inlineStr">
        <is>
          <t>ขอทดแทนอัตราว่าง</t>
        </is>
      </c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69">
        <f>IF(COUNTA(G40:I40,M40)&lt;4,"",Settings!$C$5*(G40="Yes")+Settings!$C$6*(H40="Yes")+Settings!$C$7*(I40="Yes")+Settings!$C$8*(M40="No"))</f>
        <v/>
      </c>
      <c r="S40" s="69">
        <f>IF(R40="","",IF(R40&gt;=Settings!$C$13,"สูง",IF(R40&gt;=Settings!$C$12,"ปานกลาง","ต่ำ")))</f>
        <v/>
      </c>
      <c r="T40" s="70">
        <f>IF(OR(S40="",P40=""),"",IF(AND(S40="สูง",P40="ตัด D2"),"⚠ เสี่ยงสูงแต่เสนอตัด D2 — ควรทบทวน",IF(AND(S40="ต่ำ",P40="คง D2"),"ℹ เสี่ยงต่ำแต่เสนอคง D2 — อาจควบคุมเกินจำเป็น",IF(AND(P40="เปลี่ยนเป็นหน่วยงานผู้เชี่ยวชาญ",M40="No"),"⚠ เสนอโอน แต่ตอบว่ายังไม่มีผู้เชี่ยวชาญตรวจ",IF(AND(P40="เปลี่ยนเป็นหน่วยงานผู้เชี่ยวชาญ",Q40=""),"⚠ ยังไม่ระบุหน่วยงานผู้เชี่ยวชาญ","")))))</f>
        <v/>
      </c>
      <c r="U40" s="69">
        <f>IF(AND(P40="ตัด D2",ISNUMBER(D40),ISNUMBER(F40)),D40*F40,"")</f>
        <v/>
      </c>
      <c r="V40" s="73" t="n"/>
      <c r="W40" s="70">
        <f>IF(C40="","",IF(AND(ISNUMBER(D40),D40=0),"✔ ไม่เคยทำ (ข้าม)",IF(COUNTA(D40:P40)=0,"○ ยังไม่เริ่ม",IF(IF(D40="","จำนวน/ปี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","")="","✔ ครบ","⏳ ขาด: "&amp;TRIM(IF(D40="","จำนวน/ปี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",""))))))</f>
        <v/>
      </c>
    </row>
    <row r="41">
      <c r="A41" s="69" t="n">
        <v>35</v>
      </c>
      <c r="B41" s="70" t="inlineStr">
        <is>
          <t>HR: อัตรากำลังและสรรหา</t>
        </is>
      </c>
      <c r="C41" s="71" t="inlineStr">
        <is>
          <t>ขอกรอบอัตรากำลังใหม่</t>
        </is>
      </c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69">
        <f>IF(COUNTA(G41:I41,M41)&lt;4,"",Settings!$C$5*(G41="Yes")+Settings!$C$6*(H41="Yes")+Settings!$C$7*(I41="Yes")+Settings!$C$8*(M41="No"))</f>
        <v/>
      </c>
      <c r="S41" s="69">
        <f>IF(R41="","",IF(R41&gt;=Settings!$C$13,"สูง",IF(R41&gt;=Settings!$C$12,"ปานกลาง","ต่ำ")))</f>
        <v/>
      </c>
      <c r="T41" s="70">
        <f>IF(OR(S41="",P41=""),"",IF(AND(S41="สูง",P41="ตัด D2"),"⚠ เสี่ยงสูงแต่เสนอตัด D2 — ควรทบทวน",IF(AND(S41="ต่ำ",P41="คง D2"),"ℹ เสี่ยงต่ำแต่เสนอคง D2 — อาจควบคุมเกินจำเป็น",IF(AND(P41="เปลี่ยนเป็นหน่วยงานผู้เชี่ยวชาญ",M41="No"),"⚠ เสนอโอน แต่ตอบว่ายังไม่มีผู้เชี่ยวชาญตรวจ",IF(AND(P41="เปลี่ยนเป็นหน่วยงานผู้เชี่ยวชาญ",Q41=""),"⚠ ยังไม่ระบุหน่วยงานผู้เชี่ยวชาญ","")))))</f>
        <v/>
      </c>
      <c r="U41" s="69">
        <f>IF(AND(P41="ตัด D2",ISNUMBER(D41),ISNUMBER(F41)),D41*F41,"")</f>
        <v/>
      </c>
      <c r="V41" s="73" t="n"/>
      <c r="W41" s="70">
        <f>IF(C41="","",IF(AND(ISNUMBER(D41),D41=0),"✔ ไม่เคยทำ (ข้าม)",IF(COUNTA(D41:P41)=0,"○ ยังไม่เริ่ม",IF(IF(D41="","จำนวน/ปี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","")="","✔ ครบ","⏳ ขาด: "&amp;TRIM(IF(D41="","จำนวน/ปี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",""))))))</f>
        <v/>
      </c>
    </row>
    <row r="42">
      <c r="A42" s="69" t="n">
        <v>36</v>
      </c>
      <c r="B42" s="70" t="inlineStr">
        <is>
          <t>HR: อัตรากำลังและสรรหา</t>
        </is>
      </c>
      <c r="C42" s="71" t="inlineStr">
        <is>
          <t>ขอจ้างพนักงานชั่วคราว</t>
        </is>
      </c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69">
        <f>IF(COUNTA(G42:I42,M42)&lt;4,"",Settings!$C$5*(G42="Yes")+Settings!$C$6*(H42="Yes")+Settings!$C$7*(I42="Yes")+Settings!$C$8*(M42="No"))</f>
        <v/>
      </c>
      <c r="S42" s="69">
        <f>IF(R42="","",IF(R42&gt;=Settings!$C$13,"สูง",IF(R42&gt;=Settings!$C$12,"ปานกลาง","ต่ำ")))</f>
        <v/>
      </c>
      <c r="T42" s="70">
        <f>IF(OR(S42="",P42=""),"",IF(AND(S42="สูง",P42="ตัด D2"),"⚠ เสี่ยงสูงแต่เสนอตัด D2 — ควรทบทวน",IF(AND(S42="ต่ำ",P42="คง D2"),"ℹ เสี่ยงต่ำแต่เสนอคง D2 — อาจควบคุมเกินจำเป็น",IF(AND(P42="เปลี่ยนเป็นหน่วยงานผู้เชี่ยวชาญ",M42="No"),"⚠ เสนอโอน แต่ตอบว่ายังไม่มีผู้เชี่ยวชาญตรวจ",IF(AND(P42="เปลี่ยนเป็นหน่วยงานผู้เชี่ยวชาญ",Q42=""),"⚠ ยังไม่ระบุหน่วยงานผู้เชี่ยวชาญ","")))))</f>
        <v/>
      </c>
      <c r="U42" s="69">
        <f>IF(AND(P42="ตัด D2",ISNUMBER(D42),ISNUMBER(F42)),D42*F42,"")</f>
        <v/>
      </c>
      <c r="V42" s="73" t="n"/>
      <c r="W42" s="70">
        <f>IF(C42="","",IF(AND(ISNUMBER(D42),D42=0),"✔ ไม่เคยทำ (ข้าม)",IF(COUNTA(D42:P42)=0,"○ ยังไม่เริ่ม",IF(IF(D42="","จำนวน/ปี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","")="","✔ ครบ","⏳ ขาด: "&amp;TRIM(IF(D42="","จำนวน/ปี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",""))))))</f>
        <v/>
      </c>
    </row>
    <row r="43">
      <c r="A43" s="69" t="n">
        <v>37</v>
      </c>
      <c r="B43" s="70" t="inlineStr">
        <is>
          <t>HR: อัตรากำลังและสรรหา</t>
        </is>
      </c>
      <c r="C43" s="71" t="inlineStr">
        <is>
          <t>ต่อสัญญาจ้าง</t>
        </is>
      </c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69">
        <f>IF(COUNTA(G43:I43,M43)&lt;4,"",Settings!$C$5*(G43="Yes")+Settings!$C$6*(H43="Yes")+Settings!$C$7*(I43="Yes")+Settings!$C$8*(M43="No"))</f>
        <v/>
      </c>
      <c r="S43" s="69">
        <f>IF(R43="","",IF(R43&gt;=Settings!$C$13,"สูง",IF(R43&gt;=Settings!$C$12,"ปานกลาง","ต่ำ")))</f>
        <v/>
      </c>
      <c r="T43" s="70">
        <f>IF(OR(S43="",P43=""),"",IF(AND(S43="สูง",P43="ตัด D2"),"⚠ เสี่ยงสูงแต่เสนอตัด D2 — ควรทบทวน",IF(AND(S43="ต่ำ",P43="คง D2"),"ℹ เสี่ยงต่ำแต่เสนอคง D2 — อาจควบคุมเกินจำเป็น",IF(AND(P43="เปลี่ยนเป็นหน่วยงานผู้เชี่ยวชาญ",M43="No"),"⚠ เสนอโอน แต่ตอบว่ายังไม่มีผู้เชี่ยวชาญตรวจ",IF(AND(P43="เปลี่ยนเป็นหน่วยงานผู้เชี่ยวชาญ",Q43=""),"⚠ ยังไม่ระบุหน่วยงานผู้เชี่ยวชาญ","")))))</f>
        <v/>
      </c>
      <c r="U43" s="69">
        <f>IF(AND(P43="ตัด D2",ISNUMBER(D43),ISNUMBER(F43)),D43*F43,"")</f>
        <v/>
      </c>
      <c r="V43" s="73" t="n"/>
      <c r="W43" s="70">
        <f>IF(C43="","",IF(AND(ISNUMBER(D43),D43=0),"✔ ไม่เคยทำ (ข้าม)",IF(COUNTA(D43:P43)=0,"○ ยังไม่เริ่ม",IF(IF(D43="","จำนวน/ปี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","")="","✔ ครบ","⏳ ขาด: "&amp;TRIM(IF(D43="","จำนวน/ปี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",""))))))</f>
        <v/>
      </c>
    </row>
    <row r="44">
      <c r="A44" s="69" t="n">
        <v>38</v>
      </c>
      <c r="B44" s="70" t="inlineStr">
        <is>
          <t>HR: อัตรากำลังและสรรหา</t>
        </is>
      </c>
      <c r="C44" s="71" t="inlineStr">
        <is>
          <t>กำหนดกรอบภาระงานใหม่</t>
        </is>
      </c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69">
        <f>IF(COUNTA(G44:I44,M44)&lt;4,"",Settings!$C$5*(G44="Yes")+Settings!$C$6*(H44="Yes")+Settings!$C$7*(I44="Yes")+Settings!$C$8*(M44="No"))</f>
        <v/>
      </c>
      <c r="S44" s="69">
        <f>IF(R44="","",IF(R44&gt;=Settings!$C$13,"สูง",IF(R44&gt;=Settings!$C$12,"ปานกลาง","ต่ำ")))</f>
        <v/>
      </c>
      <c r="T44" s="70">
        <f>IF(OR(S44="",P44=""),"",IF(AND(S44="สูง",P44="ตัด D2"),"⚠ เสี่ยงสูงแต่เสนอตัด D2 — ควรทบทวน",IF(AND(S44="ต่ำ",P44="คง D2"),"ℹ เสี่ยงต่ำแต่เสนอคง D2 — อาจควบคุมเกินจำเป็น",IF(AND(P44="เปลี่ยนเป็นหน่วยงานผู้เชี่ยวชาญ",M44="No"),"⚠ เสนอโอน แต่ตอบว่ายังไม่มีผู้เชี่ยวชาญตรวจ",IF(AND(P44="เปลี่ยนเป็นหน่วยงานผู้เชี่ยวชาญ",Q44=""),"⚠ ยังไม่ระบุหน่วยงานผู้เชี่ยวชาญ","")))))</f>
        <v/>
      </c>
      <c r="U44" s="69">
        <f>IF(AND(P44="ตัด D2",ISNUMBER(D44),ISNUMBER(F44)),D44*F44,"")</f>
        <v/>
      </c>
      <c r="V44" s="73" t="n"/>
      <c r="W44" s="70">
        <f>IF(C44="","",IF(AND(ISNUMBER(D44),D44=0),"✔ ไม่เคยทำ (ข้าม)",IF(COUNTA(D44:P44)=0,"○ ยังไม่เริ่ม",IF(IF(D44="","จำนวน/ปี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","")="","✔ ครบ","⏳ ขาด: "&amp;TRIM(IF(D44="","จำนวน/ปี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",""))))))</f>
        <v/>
      </c>
    </row>
    <row r="45">
      <c r="A45" s="69" t="n">
        <v>39</v>
      </c>
      <c r="B45" s="70" t="inlineStr">
        <is>
          <t>HR: วินัย ธรรมาภิบาล และข้อร้องเรียน</t>
        </is>
      </c>
      <c r="C45" s="71" t="inlineStr">
        <is>
          <t>ข้อร้องเรียนบุคลากร</t>
        </is>
      </c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69">
        <f>IF(COUNTA(G45:I45,M45)&lt;4,"",Settings!$C$5*(G45="Yes")+Settings!$C$6*(H45="Yes")+Settings!$C$7*(I45="Yes")+Settings!$C$8*(M45="No"))</f>
        <v/>
      </c>
      <c r="S45" s="69">
        <f>IF(R45="","",IF(R45&gt;=Settings!$C$13,"สูง",IF(R45&gt;=Settings!$C$12,"ปานกลาง","ต่ำ")))</f>
        <v/>
      </c>
      <c r="T45" s="70">
        <f>IF(OR(S45="",P45=""),"",IF(AND(S45="สูง",P45="ตัด D2"),"⚠ เสี่ยงสูงแต่เสนอตัด D2 — ควรทบทวน",IF(AND(S45="ต่ำ",P45="คง D2"),"ℹ เสี่ยงต่ำแต่เสนอคง D2 — อาจควบคุมเกินจำเป็น",IF(AND(P45="เปลี่ยนเป็นหน่วยงานผู้เชี่ยวชาญ",M45="No"),"⚠ เสนอโอน แต่ตอบว่ายังไม่มีผู้เชี่ยวชาญตรวจ",IF(AND(P45="เปลี่ยนเป็นหน่วยงานผู้เชี่ยวชาญ",Q45=""),"⚠ ยังไม่ระบุหน่วยงานผู้เชี่ยวชาญ","")))))</f>
        <v/>
      </c>
      <c r="U45" s="69">
        <f>IF(AND(P45="ตัด D2",ISNUMBER(D45),ISNUMBER(F45)),D45*F45,"")</f>
        <v/>
      </c>
      <c r="V45" s="73" t="n"/>
      <c r="W45" s="70">
        <f>IF(C45="","",IF(AND(ISNUMBER(D45),D45=0),"✔ ไม่เคยทำ (ข้าม)",IF(COUNTA(D45:P45)=0,"○ ยังไม่เริ่ม",IF(IF(D45="","จำนวน/ปี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","")="","✔ ครบ","⏳ ขาด: "&amp;TRIM(IF(D45="","จำนวน/ปี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",""))))))</f>
        <v/>
      </c>
    </row>
    <row r="46">
      <c r="A46" s="69" t="n">
        <v>40</v>
      </c>
      <c r="B46" s="70" t="inlineStr">
        <is>
          <t>HR: วินัย ธรรมาภิบาล และข้อร้องเรียน</t>
        </is>
      </c>
      <c r="C46" s="71" t="inlineStr">
        <is>
          <t>การสอบข้อเท็จจริง</t>
        </is>
      </c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69">
        <f>IF(COUNTA(G46:I46,M46)&lt;4,"",Settings!$C$5*(G46="Yes")+Settings!$C$6*(H46="Yes")+Settings!$C$7*(I46="Yes")+Settings!$C$8*(M46="No"))</f>
        <v/>
      </c>
      <c r="S46" s="69">
        <f>IF(R46="","",IF(R46&gt;=Settings!$C$13,"สูง",IF(R46&gt;=Settings!$C$12,"ปานกลาง","ต่ำ")))</f>
        <v/>
      </c>
      <c r="T46" s="70">
        <f>IF(OR(S46="",P46=""),"",IF(AND(S46="สูง",P46="ตัด D2"),"⚠ เสี่ยงสูงแต่เสนอตัด D2 — ควรทบทวน",IF(AND(S46="ต่ำ",P46="คง D2"),"ℹ เสี่ยงต่ำแต่เสนอคง D2 — อาจควบคุมเกินจำเป็น",IF(AND(P46="เปลี่ยนเป็นหน่วยงานผู้เชี่ยวชาญ",M46="No"),"⚠ เสนอโอน แต่ตอบว่ายังไม่มีผู้เชี่ยวชาญตรวจ",IF(AND(P46="เปลี่ยนเป็นหน่วยงานผู้เชี่ยวชาญ",Q46=""),"⚠ ยังไม่ระบุหน่วยงานผู้เชี่ยวชาญ","")))))</f>
        <v/>
      </c>
      <c r="U46" s="69">
        <f>IF(AND(P46="ตัด D2",ISNUMBER(D46),ISNUMBER(F46)),D46*F46,"")</f>
        <v/>
      </c>
      <c r="V46" s="73" t="n"/>
      <c r="W46" s="70">
        <f>IF(C46="","",IF(AND(ISNUMBER(D46),D46=0),"✔ ไม่เคยทำ (ข้าม)",IF(COUNTA(D46:P46)=0,"○ ยังไม่เริ่ม",IF(IF(D46="","จำนวน/ปี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","")="","✔ ครบ","⏳ ขาด: "&amp;TRIM(IF(D46="","จำนวน/ปี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",""))))))</f>
        <v/>
      </c>
    </row>
    <row r="47">
      <c r="A47" s="69" t="n">
        <v>41</v>
      </c>
      <c r="B47" s="70" t="inlineStr">
        <is>
          <t>HR: วินัย ธรรมาภิบาล และข้อร้องเรียน</t>
        </is>
      </c>
      <c r="C47" s="71" t="inlineStr">
        <is>
          <t>การดำเนินการทางวินัย</t>
        </is>
      </c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69">
        <f>IF(COUNTA(G47:I47,M47)&lt;4,"",Settings!$C$5*(G47="Yes")+Settings!$C$6*(H47="Yes")+Settings!$C$7*(I47="Yes")+Settings!$C$8*(M47="No"))</f>
        <v/>
      </c>
      <c r="S47" s="69">
        <f>IF(R47="","",IF(R47&gt;=Settings!$C$13,"สูง",IF(R47&gt;=Settings!$C$12,"ปานกลาง","ต่ำ")))</f>
        <v/>
      </c>
      <c r="T47" s="70">
        <f>IF(OR(S47="",P47=""),"",IF(AND(S47="สูง",P47="ตัด D2"),"⚠ เสี่ยงสูงแต่เสนอตัด D2 — ควรทบทวน",IF(AND(S47="ต่ำ",P47="คง D2"),"ℹ เสี่ยงต่ำแต่เสนอคง D2 — อาจควบคุมเกินจำเป็น",IF(AND(P47="เปลี่ยนเป็นหน่วยงานผู้เชี่ยวชาญ",M47="No"),"⚠ เสนอโอน แต่ตอบว่ายังไม่มีผู้เชี่ยวชาญตรวจ",IF(AND(P47="เปลี่ยนเป็นหน่วยงานผู้เชี่ยวชาญ",Q47=""),"⚠ ยังไม่ระบุหน่วยงานผู้เชี่ยวชาญ","")))))</f>
        <v/>
      </c>
      <c r="U47" s="69">
        <f>IF(AND(P47="ตัด D2",ISNUMBER(D47),ISNUMBER(F47)),D47*F47,"")</f>
        <v/>
      </c>
      <c r="V47" s="73" t="n"/>
      <c r="W47" s="70">
        <f>IF(C47="","",IF(AND(ISNUMBER(D47),D47=0),"✔ ไม่เคยทำ (ข้าม)",IF(COUNTA(D47:P47)=0,"○ ยังไม่เริ่ม",IF(IF(D47="","จำนวน/ปี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","")="","✔ ครบ","⏳ ขาด: "&amp;TRIM(IF(D47="","จำนวน/ปี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",""))))))</f>
        <v/>
      </c>
    </row>
    <row r="48">
      <c r="A48" s="69" t="n">
        <v>42</v>
      </c>
      <c r="B48" s="70" t="inlineStr">
        <is>
          <t>HR: วินัย ธรรมาภิบาล และข้อร้องเรียน</t>
        </is>
      </c>
      <c r="C48" s="71" t="inlineStr">
        <is>
          <t>การอุทธรณ์ผลประเมิน</t>
        </is>
      </c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69">
        <f>IF(COUNTA(G48:I48,M48)&lt;4,"",Settings!$C$5*(G48="Yes")+Settings!$C$6*(H48="Yes")+Settings!$C$7*(I48="Yes")+Settings!$C$8*(M48="No"))</f>
        <v/>
      </c>
      <c r="S48" s="69">
        <f>IF(R48="","",IF(R48&gt;=Settings!$C$13,"สูง",IF(R48&gt;=Settings!$C$12,"ปานกลาง","ต่ำ")))</f>
        <v/>
      </c>
      <c r="T48" s="70">
        <f>IF(OR(S48="",P48=""),"",IF(AND(S48="สูง",P48="ตัด D2"),"⚠ เสี่ยงสูงแต่เสนอตัด D2 — ควรทบทวน",IF(AND(S48="ต่ำ",P48="คง D2"),"ℹ เสี่ยงต่ำแต่เสนอคง D2 — อาจควบคุมเกินจำเป็น",IF(AND(P48="เปลี่ยนเป็นหน่วยงานผู้เชี่ยวชาญ",M48="No"),"⚠ เสนอโอน แต่ตอบว่ายังไม่มีผู้เชี่ยวชาญตรวจ",IF(AND(P48="เปลี่ยนเป็นหน่วยงานผู้เชี่ยวชาญ",Q48=""),"⚠ ยังไม่ระบุหน่วยงานผู้เชี่ยวชาญ","")))))</f>
        <v/>
      </c>
      <c r="U48" s="69">
        <f>IF(AND(P48="ตัด D2",ISNUMBER(D48),ISNUMBER(F48)),D48*F48,"")</f>
        <v/>
      </c>
      <c r="V48" s="73" t="n"/>
      <c r="W48" s="70">
        <f>IF(C48="","",IF(AND(ISNUMBER(D48),D48=0),"✔ ไม่เคยทำ (ข้าม)",IF(COUNTA(D48:P48)=0,"○ ยังไม่เริ่ม",IF(IF(D48="","จำนวน/ปี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","")="","✔ ครบ","⏳ ขาด: "&amp;TRIM(IF(D48="","จำนวน/ปี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",""))))))</f>
        <v/>
      </c>
    </row>
    <row r="49">
      <c r="A49" s="72" t="n"/>
      <c r="B49" s="73" t="n"/>
      <c r="C49" s="73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69">
        <f>IF(COUNTA(G49:I49,M49)&lt;4,"",Settings!$C$5*(G49="Yes")+Settings!$C$6*(H49="Yes")+Settings!$C$7*(I49="Yes")+Settings!$C$8*(M49="No"))</f>
        <v/>
      </c>
      <c r="S49" s="69">
        <f>IF(R49="","",IF(R49&gt;=Settings!$C$13,"สูง",IF(R49&gt;=Settings!$C$12,"ปานกลาง","ต่ำ")))</f>
        <v/>
      </c>
      <c r="T49" s="70">
        <f>IF(OR(S49="",P49=""),"",IF(AND(S49="สูง",P49="ตัด D2"),"⚠ เสี่ยงสูงแต่เสนอตัด D2 — ควรทบทวน",IF(AND(S49="ต่ำ",P49="คง D2"),"ℹ เสี่ยงต่ำแต่เสนอคง D2 — อาจควบคุมเกินจำเป็น",IF(AND(P49="เปลี่ยนเป็นหน่วยงานผู้เชี่ยวชาญ",M49="No"),"⚠ เสนอโอน แต่ตอบว่ายังไม่มีผู้เชี่ยวชาญตรวจ",IF(AND(P49="เปลี่ยนเป็นหน่วยงานผู้เชี่ยวชาญ",Q49=""),"⚠ ยังไม่ระบุหน่วยงานผู้เชี่ยวชาญ","")))))</f>
        <v/>
      </c>
      <c r="U49" s="69">
        <f>IF(AND(P49="ตัด D2",ISNUMBER(D49),ISNUMBER(F49)),D49*F49,"")</f>
        <v/>
      </c>
      <c r="V49" s="73" t="n"/>
      <c r="W49" s="70">
        <f>IF(C49="","",IF(AND(ISNUMBER(D49),D49=0),"✔ ไม่เคยทำ (ข้าม)",IF(COUNTA(D49:P49)=0,"○ ยังไม่เริ่ม",IF(IF(D49="","จำนวน/ปี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","")="","✔ ครบ","⏳ ขาด: "&amp;TRIM(IF(D49="","จำนวน/ปี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",""))))))</f>
        <v/>
      </c>
    </row>
    <row r="50">
      <c r="A50" s="72" t="n"/>
      <c r="B50" s="73" t="n"/>
      <c r="C50" s="73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69">
        <f>IF(COUNTA(G50:I50,M50)&lt;4,"",Settings!$C$5*(G50="Yes")+Settings!$C$6*(H50="Yes")+Settings!$C$7*(I50="Yes")+Settings!$C$8*(M50="No"))</f>
        <v/>
      </c>
      <c r="S50" s="69">
        <f>IF(R50="","",IF(R50&gt;=Settings!$C$13,"สูง",IF(R50&gt;=Settings!$C$12,"ปานกลาง","ต่ำ")))</f>
        <v/>
      </c>
      <c r="T50" s="70">
        <f>IF(OR(S50="",P50=""),"",IF(AND(S50="สูง",P50="ตัด D2"),"⚠ เสี่ยงสูงแต่เสนอตัด D2 — ควรทบทวน",IF(AND(S50="ต่ำ",P50="คง D2"),"ℹ เสี่ยงต่ำแต่เสนอคง D2 — อาจควบคุมเกินจำเป็น",IF(AND(P50="เปลี่ยนเป็นหน่วยงานผู้เชี่ยวชาญ",M50="No"),"⚠ เสนอโอน แต่ตอบว่ายังไม่มีผู้เชี่ยวชาญตรวจ",IF(AND(P50="เปลี่ยนเป็นหน่วยงานผู้เชี่ยวชาญ",Q50=""),"⚠ ยังไม่ระบุหน่วยงานผู้เชี่ยวชาญ","")))))</f>
        <v/>
      </c>
      <c r="U50" s="69">
        <f>IF(AND(P50="ตัด D2",ISNUMBER(D50),ISNUMBER(F50)),D50*F50,"")</f>
        <v/>
      </c>
      <c r="V50" s="73" t="n"/>
      <c r="W50" s="70">
        <f>IF(C50="","",IF(AND(ISNUMBER(D50),D50=0),"✔ ไม่เคยทำ (ข้าม)",IF(COUNTA(D50:P50)=0,"○ ยังไม่เริ่ม",IF(IF(D50="","จำนวน/ปี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","")="","✔ ครบ","⏳ ขาด: "&amp;TRIM(IF(D50="","จำนวน/ปี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",""))))))</f>
        <v/>
      </c>
    </row>
    <row r="51">
      <c r="A51" s="72" t="n"/>
      <c r="B51" s="73" t="n"/>
      <c r="C51" s="73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69">
        <f>IF(COUNTA(G51:I51,M51)&lt;4,"",Settings!$C$5*(G51="Yes")+Settings!$C$6*(H51="Yes")+Settings!$C$7*(I51="Yes")+Settings!$C$8*(M51="No"))</f>
        <v/>
      </c>
      <c r="S51" s="69">
        <f>IF(R51="","",IF(R51&gt;=Settings!$C$13,"สูง",IF(R51&gt;=Settings!$C$12,"ปานกลาง","ต่ำ")))</f>
        <v/>
      </c>
      <c r="T51" s="70">
        <f>IF(OR(S51="",P51=""),"",IF(AND(S51="สูง",P51="ตัด D2"),"⚠ เสี่ยงสูงแต่เสนอตัด D2 — ควรทบทวน",IF(AND(S51="ต่ำ",P51="คง D2"),"ℹ เสี่ยงต่ำแต่เสนอคง D2 — อาจควบคุมเกินจำเป็น",IF(AND(P51="เปลี่ยนเป็นหน่วยงานผู้เชี่ยวชาญ",M51="No"),"⚠ เสนอโอน แต่ตอบว่ายังไม่มีผู้เชี่ยวชาญตรวจ",IF(AND(P51="เปลี่ยนเป็นหน่วยงานผู้เชี่ยวชาญ",Q51=""),"⚠ ยังไม่ระบุหน่วยงานผู้เชี่ยวชาญ","")))))</f>
        <v/>
      </c>
      <c r="U51" s="69">
        <f>IF(AND(P51="ตัด D2",ISNUMBER(D51),ISNUMBER(F51)),D51*F51,"")</f>
        <v/>
      </c>
      <c r="V51" s="73" t="n"/>
      <c r="W51" s="70">
        <f>IF(C51="","",IF(AND(ISNUMBER(D51),D51=0),"✔ ไม่เคยทำ (ข้าม)",IF(COUNTA(D51:P51)=0,"○ ยังไม่เริ่ม",IF(IF(D51="","จำนวน/ปี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","")="","✔ ครบ","⏳ ขาด: "&amp;TRIM(IF(D51="","จำนวน/ปี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",""))))))</f>
        <v/>
      </c>
    </row>
    <row r="52">
      <c r="A52" s="72" t="n"/>
      <c r="B52" s="73" t="n"/>
      <c r="C52" s="73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69">
        <f>IF(COUNTA(G52:I52,M52)&lt;4,"",Settings!$C$5*(G52="Yes")+Settings!$C$6*(H52="Yes")+Settings!$C$7*(I52="Yes")+Settings!$C$8*(M52="No"))</f>
        <v/>
      </c>
      <c r="S52" s="69">
        <f>IF(R52="","",IF(R52&gt;=Settings!$C$13,"สูง",IF(R52&gt;=Settings!$C$12,"ปานกลาง","ต่ำ")))</f>
        <v/>
      </c>
      <c r="T52" s="70">
        <f>IF(OR(S52="",P52=""),"",IF(AND(S52="สูง",P52="ตัด D2"),"⚠ เสี่ยงสูงแต่เสนอตัด D2 — ควรทบทวน",IF(AND(S52="ต่ำ",P52="คง D2"),"ℹ เสี่ยงต่ำแต่เสนอคง D2 — อาจควบคุมเกินจำเป็น",IF(AND(P52="เปลี่ยนเป็นหน่วยงานผู้เชี่ยวชาญ",M52="No"),"⚠ เสนอโอน แต่ตอบว่ายังไม่มีผู้เชี่ยวชาญตรวจ",IF(AND(P52="เปลี่ยนเป็นหน่วยงานผู้เชี่ยวชาญ",Q52=""),"⚠ ยังไม่ระบุหน่วยงานผู้เชี่ยวชาญ","")))))</f>
        <v/>
      </c>
      <c r="U52" s="69">
        <f>IF(AND(P52="ตัด D2",ISNUMBER(D52),ISNUMBER(F52)),D52*F52,"")</f>
        <v/>
      </c>
      <c r="V52" s="73" t="n"/>
      <c r="W52" s="70">
        <f>IF(C52="","",IF(AND(ISNUMBER(D52),D52=0),"✔ ไม่เคยทำ (ข้าม)",IF(COUNTA(D52:P52)=0,"○ ยังไม่เริ่ม",IF(IF(D52="","จำนวน/ปี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","")="","✔ ครบ","⏳ ขาด: "&amp;TRIM(IF(D52="","จำนวน/ปี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",""))))))</f>
        <v/>
      </c>
    </row>
    <row r="53">
      <c r="A53" s="72" t="n"/>
      <c r="B53" s="73" t="n"/>
      <c r="C53" s="73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69">
        <f>IF(COUNTA(G53:I53,M53)&lt;4,"",Settings!$C$5*(G53="Yes")+Settings!$C$6*(H53="Yes")+Settings!$C$7*(I53="Yes")+Settings!$C$8*(M53="No"))</f>
        <v/>
      </c>
      <c r="S53" s="69">
        <f>IF(R53="","",IF(R53&gt;=Settings!$C$13,"สูง",IF(R53&gt;=Settings!$C$12,"ปานกลาง","ต่ำ")))</f>
        <v/>
      </c>
      <c r="T53" s="70">
        <f>IF(OR(S53="",P53=""),"",IF(AND(S53="สูง",P53="ตัด D2"),"⚠ เสี่ยงสูงแต่เสนอตัด D2 — ควรทบทวน",IF(AND(S53="ต่ำ",P53="คง D2"),"ℹ เสี่ยงต่ำแต่เสนอคง D2 — อาจควบคุมเกินจำเป็น",IF(AND(P53="เปลี่ยนเป็นหน่วยงานผู้เชี่ยวชาญ",M53="No"),"⚠ เสนอโอน แต่ตอบว่ายังไม่มีผู้เชี่ยวชาญตรวจ",IF(AND(P53="เปลี่ยนเป็นหน่วยงานผู้เชี่ยวชาญ",Q53=""),"⚠ ยังไม่ระบุหน่วยงานผู้เชี่ยวชาญ","")))))</f>
        <v/>
      </c>
      <c r="U53" s="69">
        <f>IF(AND(P53="ตัด D2",ISNUMBER(D53),ISNUMBER(F53)),D53*F53,"")</f>
        <v/>
      </c>
      <c r="V53" s="73" t="n"/>
      <c r="W53" s="70">
        <f>IF(C53="","",IF(AND(ISNUMBER(D53),D53=0),"✔ ไม่เคยทำ (ข้าม)",IF(COUNTA(D53:P53)=0,"○ ยังไม่เริ่ม",IF(IF(D53="","จำนวน/ปี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","")="","✔ ครบ","⏳ ขาด: "&amp;TRIM(IF(D53="","จำนวน/ปี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",""))))))</f>
        <v/>
      </c>
    </row>
    <row r="54">
      <c r="A54" s="72" t="n"/>
      <c r="B54" s="73" t="n"/>
      <c r="C54" s="73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69">
        <f>IF(COUNTA(G54:I54,M54)&lt;4,"",Settings!$C$5*(G54="Yes")+Settings!$C$6*(H54="Yes")+Settings!$C$7*(I54="Yes")+Settings!$C$8*(M54="No"))</f>
        <v/>
      </c>
      <c r="S54" s="69">
        <f>IF(R54="","",IF(R54&gt;=Settings!$C$13,"สูง",IF(R54&gt;=Settings!$C$12,"ปานกลาง","ต่ำ")))</f>
        <v/>
      </c>
      <c r="T54" s="70">
        <f>IF(OR(S54="",P54=""),"",IF(AND(S54="สูง",P54="ตัด D2"),"⚠ เสี่ยงสูงแต่เสนอตัด D2 — ควรทบทวน",IF(AND(S54="ต่ำ",P54="คง D2"),"ℹ เสี่ยงต่ำแต่เสนอคง D2 — อาจควบคุมเกินจำเป็น",IF(AND(P54="เปลี่ยนเป็นหน่วยงานผู้เชี่ยวชาญ",M54="No"),"⚠ เสนอโอน แต่ตอบว่ายังไม่มีผู้เชี่ยวชาญตรวจ",IF(AND(P54="เปลี่ยนเป็นหน่วยงานผู้เชี่ยวชาญ",Q54=""),"⚠ ยังไม่ระบุหน่วยงานผู้เชี่ยวชาญ","")))))</f>
        <v/>
      </c>
      <c r="U54" s="69">
        <f>IF(AND(P54="ตัด D2",ISNUMBER(D54),ISNUMBER(F54)),D54*F54,"")</f>
        <v/>
      </c>
      <c r="V54" s="73" t="n"/>
      <c r="W54" s="70">
        <f>IF(C54="","",IF(AND(ISNUMBER(D54),D54=0),"✔ ไม่เคยทำ (ข้าม)",IF(COUNTA(D54:P54)=0,"○ ยังไม่เริ่ม",IF(IF(D54="","จำนวน/ปี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","")="","✔ ครบ","⏳ ขาด: "&amp;TRIM(IF(D54="","จำนวน/ปี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",""))))))</f>
        <v/>
      </c>
    </row>
    <row r="55">
      <c r="A55" s="72" t="n"/>
      <c r="B55" s="73" t="n"/>
      <c r="C55" s="73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69">
        <f>IF(COUNTA(G55:I55,M55)&lt;4,"",Settings!$C$5*(G55="Yes")+Settings!$C$6*(H55="Yes")+Settings!$C$7*(I55="Yes")+Settings!$C$8*(M55="No"))</f>
        <v/>
      </c>
      <c r="S55" s="69">
        <f>IF(R55="","",IF(R55&gt;=Settings!$C$13,"สูง",IF(R55&gt;=Settings!$C$12,"ปานกลาง","ต่ำ")))</f>
        <v/>
      </c>
      <c r="T55" s="70">
        <f>IF(OR(S55="",P55=""),"",IF(AND(S55="สูง",P55="ตัด D2"),"⚠ เสี่ยงสูงแต่เสนอตัด D2 — ควรทบทวน",IF(AND(S55="ต่ำ",P55="คง D2"),"ℹ เสี่ยงต่ำแต่เสนอคง D2 — อาจควบคุมเกินจำเป็น",IF(AND(P55="เปลี่ยนเป็นหน่วยงานผู้เชี่ยวชาญ",M55="No"),"⚠ เสนอโอน แต่ตอบว่ายังไม่มีผู้เชี่ยวชาญตรวจ",IF(AND(P55="เปลี่ยนเป็นหน่วยงานผู้เชี่ยวชาญ",Q55=""),"⚠ ยังไม่ระบุหน่วยงานผู้เชี่ยวชาญ","")))))</f>
        <v/>
      </c>
      <c r="U55" s="69">
        <f>IF(AND(P55="ตัด D2",ISNUMBER(D55),ISNUMBER(F55)),D55*F55,"")</f>
        <v/>
      </c>
      <c r="V55" s="73" t="n"/>
      <c r="W55" s="70">
        <f>IF(C55="","",IF(AND(ISNUMBER(D55),D55=0),"✔ ไม่เคยทำ (ข้าม)",IF(COUNTA(D55:P55)=0,"○ ยังไม่เริ่ม",IF(IF(D55="","จำนวน/ปี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","")="","✔ ครบ","⏳ ขาด: "&amp;TRIM(IF(D55="","จำนวน/ปี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",""))))))</f>
        <v/>
      </c>
    </row>
    <row r="56">
      <c r="A56" s="72" t="n"/>
      <c r="B56" s="73" t="n"/>
      <c r="C56" s="73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69">
        <f>IF(COUNTA(G56:I56,M56)&lt;4,"",Settings!$C$5*(G56="Yes")+Settings!$C$6*(H56="Yes")+Settings!$C$7*(I56="Yes")+Settings!$C$8*(M56="No"))</f>
        <v/>
      </c>
      <c r="S56" s="69">
        <f>IF(R56="","",IF(R56&gt;=Settings!$C$13,"สูง",IF(R56&gt;=Settings!$C$12,"ปานกลาง","ต่ำ")))</f>
        <v/>
      </c>
      <c r="T56" s="70">
        <f>IF(OR(S56="",P56=""),"",IF(AND(S56="สูง",P56="ตัด D2"),"⚠ เสี่ยงสูงแต่เสนอตัด D2 — ควรทบทวน",IF(AND(S56="ต่ำ",P56="คง D2"),"ℹ เสี่ยงต่ำแต่เสนอคง D2 — อาจควบคุมเกินจำเป็น",IF(AND(P56="เปลี่ยนเป็นหน่วยงานผู้เชี่ยวชาญ",M56="No"),"⚠ เสนอโอน แต่ตอบว่ายังไม่มีผู้เชี่ยวชาญตรวจ",IF(AND(P56="เปลี่ยนเป็นหน่วยงานผู้เชี่ยวชาญ",Q56=""),"⚠ ยังไม่ระบุหน่วยงานผู้เชี่ยวชาญ","")))))</f>
        <v/>
      </c>
      <c r="U56" s="69">
        <f>IF(AND(P56="ตัด D2",ISNUMBER(D56),ISNUMBER(F56)),D56*F56,"")</f>
        <v/>
      </c>
      <c r="V56" s="73" t="n"/>
      <c r="W56" s="70">
        <f>IF(C56="","",IF(AND(ISNUMBER(D56),D56=0),"✔ ไม่เคยทำ (ข้าม)",IF(COUNTA(D56:P56)=0,"○ ยังไม่เริ่ม",IF(IF(D56="","จำนวน/ปี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","")="","✔ ครบ","⏳ ขาด: "&amp;TRIM(IF(D56="","จำนวน/ปี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",""))))))</f>
        <v/>
      </c>
    </row>
    <row r="57">
      <c r="A57" s="72" t="n"/>
      <c r="B57" s="73" t="n"/>
      <c r="C57" s="73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69">
        <f>IF(COUNTA(G57:I57,M57)&lt;4,"",Settings!$C$5*(G57="Yes")+Settings!$C$6*(H57="Yes")+Settings!$C$7*(I57="Yes")+Settings!$C$8*(M57="No"))</f>
        <v/>
      </c>
      <c r="S57" s="69">
        <f>IF(R57="","",IF(R57&gt;=Settings!$C$13,"สูง",IF(R57&gt;=Settings!$C$12,"ปานกลาง","ต่ำ")))</f>
        <v/>
      </c>
      <c r="T57" s="70">
        <f>IF(OR(S57="",P57=""),"",IF(AND(S57="สูง",P57="ตัด D2"),"⚠ เสี่ยงสูงแต่เสนอตัด D2 — ควรทบทวน",IF(AND(S57="ต่ำ",P57="คง D2"),"ℹ เสี่ยงต่ำแต่เสนอคง D2 — อาจควบคุมเกินจำเป็น",IF(AND(P57="เปลี่ยนเป็นหน่วยงานผู้เชี่ยวชาญ",M57="No"),"⚠ เสนอโอน แต่ตอบว่ายังไม่มีผู้เชี่ยวชาญตรวจ",IF(AND(P57="เปลี่ยนเป็นหน่วยงานผู้เชี่ยวชาญ",Q57=""),"⚠ ยังไม่ระบุหน่วยงานผู้เชี่ยวชาญ","")))))</f>
        <v/>
      </c>
      <c r="U57" s="69">
        <f>IF(AND(P57="ตัด D2",ISNUMBER(D57),ISNUMBER(F57)),D57*F57,"")</f>
        <v/>
      </c>
      <c r="V57" s="73" t="n"/>
      <c r="W57" s="70">
        <f>IF(C57="","",IF(AND(ISNUMBER(D57),D57=0),"✔ ไม่เคยทำ (ข้าม)",IF(COUNTA(D57:P57)=0,"○ ยังไม่เริ่ม",IF(IF(D57="","จำนวน/ปี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","")="","✔ ครบ","⏳ ขาด: "&amp;TRIM(IF(D57="","จำนวน/ปี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",""))))))</f>
        <v/>
      </c>
    </row>
    <row r="58">
      <c r="A58" s="72" t="n"/>
      <c r="B58" s="73" t="n"/>
      <c r="C58" s="73" t="n"/>
      <c r="D58" s="72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69">
        <f>IF(COUNTA(G58:I58,M58)&lt;4,"",Settings!$C$5*(G58="Yes")+Settings!$C$6*(H58="Yes")+Settings!$C$7*(I58="Yes")+Settings!$C$8*(M58="No"))</f>
        <v/>
      </c>
      <c r="S58" s="69">
        <f>IF(R58="","",IF(R58&gt;=Settings!$C$13,"สูง",IF(R58&gt;=Settings!$C$12,"ปานกลาง","ต่ำ")))</f>
        <v/>
      </c>
      <c r="T58" s="70">
        <f>IF(OR(S58="",P58=""),"",IF(AND(S58="สูง",P58="ตัด D2"),"⚠ เสี่ยงสูงแต่เสนอตัด D2 — ควรทบทวน",IF(AND(S58="ต่ำ",P58="คง D2"),"ℹ เสี่ยงต่ำแต่เสนอคง D2 — อาจควบคุมเกินจำเป็น",IF(AND(P58="เปลี่ยนเป็นหน่วยงานผู้เชี่ยวชาญ",M58="No"),"⚠ เสนอโอน แต่ตอบว่ายังไม่มีผู้เชี่ยวชาญตรวจ",IF(AND(P58="เปลี่ยนเป็นหน่วยงานผู้เชี่ยวชาญ",Q58=""),"⚠ ยังไม่ระบุหน่วยงานผู้เชี่ยวชาญ","")))))</f>
        <v/>
      </c>
      <c r="U58" s="69">
        <f>IF(AND(P58="ตัด D2",ISNUMBER(D58),ISNUMBER(F58)),D58*F58,"")</f>
        <v/>
      </c>
      <c r="V58" s="73" t="n"/>
      <c r="W58" s="70">
        <f>IF(C58="","",IF(AND(ISNUMBER(D58),D58=0),"✔ ไม่เคยทำ (ข้าม)",IF(COUNTA(D58:P58)=0,"○ ยังไม่เริ่ม",IF(IF(D58="","จำนวน/ปี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","")="","✔ ครบ","⏳ ขาด: "&amp;TRIM(IF(D58="","จำนวน/ปี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",""))))))</f>
        <v/>
      </c>
    </row>
    <row r="59">
      <c r="A59" s="72" t="n"/>
      <c r="B59" s="73" t="n"/>
      <c r="C59" s="73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69">
        <f>IF(COUNTA(G59:I59,M59)&lt;4,"",Settings!$C$5*(G59="Yes")+Settings!$C$6*(H59="Yes")+Settings!$C$7*(I59="Yes")+Settings!$C$8*(M59="No"))</f>
        <v/>
      </c>
      <c r="S59" s="69">
        <f>IF(R59="","",IF(R59&gt;=Settings!$C$13,"สูง",IF(R59&gt;=Settings!$C$12,"ปานกลาง","ต่ำ")))</f>
        <v/>
      </c>
      <c r="T59" s="70">
        <f>IF(OR(S59="",P59=""),"",IF(AND(S59="สูง",P59="ตัด D2"),"⚠ เสี่ยงสูงแต่เสนอตัด D2 — ควรทบทวน",IF(AND(S59="ต่ำ",P59="คง D2"),"ℹ เสี่ยงต่ำแต่เสนอคง D2 — อาจควบคุมเกินจำเป็น",IF(AND(P59="เปลี่ยนเป็นหน่วยงานผู้เชี่ยวชาญ",M59="No"),"⚠ เสนอโอน แต่ตอบว่ายังไม่มีผู้เชี่ยวชาญตรวจ",IF(AND(P59="เปลี่ยนเป็นหน่วยงานผู้เชี่ยวชาญ",Q59=""),"⚠ ยังไม่ระบุหน่วยงานผู้เชี่ยวชาญ","")))))</f>
        <v/>
      </c>
      <c r="U59" s="69">
        <f>IF(AND(P59="ตัด D2",ISNUMBER(D59),ISNUMBER(F59)),D59*F59,"")</f>
        <v/>
      </c>
      <c r="V59" s="73" t="n"/>
      <c r="W59" s="70">
        <f>IF(C59="","",IF(AND(ISNUMBER(D59),D59=0),"✔ ไม่เคยทำ (ข้าม)",IF(COUNTA(D59:P59)=0,"○ ยังไม่เริ่ม",IF(IF(D59="","จำนวน/ปี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","")="","✔ ครบ","⏳ ขาด: "&amp;TRIM(IF(D59="","จำนวน/ปี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",""))))))</f>
        <v/>
      </c>
    </row>
    <row r="60">
      <c r="A60" s="72" t="n"/>
      <c r="B60" s="73" t="n"/>
      <c r="C60" s="73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69">
        <f>IF(COUNTA(G60:I60,M60)&lt;4,"",Settings!$C$5*(G60="Yes")+Settings!$C$6*(H60="Yes")+Settings!$C$7*(I60="Yes")+Settings!$C$8*(M60="No"))</f>
        <v/>
      </c>
      <c r="S60" s="69">
        <f>IF(R60="","",IF(R60&gt;=Settings!$C$13,"สูง",IF(R60&gt;=Settings!$C$12,"ปานกลาง","ต่ำ")))</f>
        <v/>
      </c>
      <c r="T60" s="70">
        <f>IF(OR(S60="",P60=""),"",IF(AND(S60="สูง",P60="ตัด D2"),"⚠ เสี่ยงสูงแต่เสนอตัด D2 — ควรทบทวน",IF(AND(S60="ต่ำ",P60="คง D2"),"ℹ เสี่ยงต่ำแต่เสนอคง D2 — อาจควบคุมเกินจำเป็น",IF(AND(P60="เปลี่ยนเป็นหน่วยงานผู้เชี่ยวชาญ",M60="No"),"⚠ เสนอโอน แต่ตอบว่ายังไม่มีผู้เชี่ยวชาญตรวจ",IF(AND(P60="เปลี่ยนเป็นหน่วยงานผู้เชี่ยวชาญ",Q60=""),"⚠ ยังไม่ระบุหน่วยงานผู้เชี่ยวชาญ","")))))</f>
        <v/>
      </c>
      <c r="U60" s="69">
        <f>IF(AND(P60="ตัด D2",ISNUMBER(D60),ISNUMBER(F60)),D60*F60,"")</f>
        <v/>
      </c>
      <c r="V60" s="73" t="n"/>
      <c r="W60" s="70">
        <f>IF(C60="","",IF(AND(ISNUMBER(D60),D60=0),"✔ ไม่เคยทำ (ข้าม)",IF(COUNTA(D60:P60)=0,"○ ยังไม่เริ่ม",IF(IF(D60="","จำนวน/ปี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","")="","✔ ครบ","⏳ ขาด: "&amp;TRIM(IF(D60="","จำนวน/ปี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",""))))))</f>
        <v/>
      </c>
    </row>
    <row r="61">
      <c r="A61" s="72" t="n"/>
      <c r="B61" s="73" t="n"/>
      <c r="C61" s="73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69">
        <f>IF(COUNTA(G61:I61,M61)&lt;4,"",Settings!$C$5*(G61="Yes")+Settings!$C$6*(H61="Yes")+Settings!$C$7*(I61="Yes")+Settings!$C$8*(M61="No"))</f>
        <v/>
      </c>
      <c r="S61" s="69">
        <f>IF(R61="","",IF(R61&gt;=Settings!$C$13,"สูง",IF(R61&gt;=Settings!$C$12,"ปานกลาง","ต่ำ")))</f>
        <v/>
      </c>
      <c r="T61" s="70">
        <f>IF(OR(S61="",P61=""),"",IF(AND(S61="สูง",P61="ตัด D2"),"⚠ เสี่ยงสูงแต่เสนอตัด D2 — ควรทบทวน",IF(AND(S61="ต่ำ",P61="คง D2"),"ℹ เสี่ยงต่ำแต่เสนอคง D2 — อาจควบคุมเกินจำเป็น",IF(AND(P61="เปลี่ยนเป็นหน่วยงานผู้เชี่ยวชาญ",M61="No"),"⚠ เสนอโอน แต่ตอบว่ายังไม่มีผู้เชี่ยวชาญตรวจ",IF(AND(P61="เปลี่ยนเป็นหน่วยงานผู้เชี่ยวชาญ",Q61=""),"⚠ ยังไม่ระบุหน่วยงานผู้เชี่ยวชาญ","")))))</f>
        <v/>
      </c>
      <c r="U61" s="69">
        <f>IF(AND(P61="ตัด D2",ISNUMBER(D61),ISNUMBER(F61)),D61*F61,"")</f>
        <v/>
      </c>
      <c r="V61" s="73" t="n"/>
      <c r="W61" s="70">
        <f>IF(C61="","",IF(AND(ISNUMBER(D61),D61=0),"✔ ไม่เคยทำ (ข้าม)",IF(COUNTA(D61:P61)=0,"○ ยังไม่เริ่ม",IF(IF(D61="","จำนวน/ปี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","")="","✔ ครบ","⏳ ขาด: "&amp;TRIM(IF(D61="","จำนวน/ปี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",""))))))</f>
        <v/>
      </c>
    </row>
    <row r="62">
      <c r="A62" s="72" t="n"/>
      <c r="B62" s="73" t="n"/>
      <c r="C62" s="73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69">
        <f>IF(COUNTA(G62:I62,M62)&lt;4,"",Settings!$C$5*(G62="Yes")+Settings!$C$6*(H62="Yes")+Settings!$C$7*(I62="Yes")+Settings!$C$8*(M62="No"))</f>
        <v/>
      </c>
      <c r="S62" s="69">
        <f>IF(R62="","",IF(R62&gt;=Settings!$C$13,"สูง",IF(R62&gt;=Settings!$C$12,"ปานกลาง","ต่ำ")))</f>
        <v/>
      </c>
      <c r="T62" s="70">
        <f>IF(OR(S62="",P62=""),"",IF(AND(S62="สูง",P62="ตัด D2"),"⚠ เสี่ยงสูงแต่เสนอตัด D2 — ควรทบทวน",IF(AND(S62="ต่ำ",P62="คง D2"),"ℹ เสี่ยงต่ำแต่เสนอคง D2 — อาจควบคุมเกินจำเป็น",IF(AND(P62="เปลี่ยนเป็นหน่วยงานผู้เชี่ยวชาญ",M62="No"),"⚠ เสนอโอน แต่ตอบว่ายังไม่มีผู้เชี่ยวชาญตรวจ",IF(AND(P62="เปลี่ยนเป็นหน่วยงานผู้เชี่ยวชาญ",Q62=""),"⚠ ยังไม่ระบุหน่วยงานผู้เชี่ยวชาญ","")))))</f>
        <v/>
      </c>
      <c r="U62" s="69">
        <f>IF(AND(P62="ตัด D2",ISNUMBER(D62),ISNUMBER(F62)),D62*F62,"")</f>
        <v/>
      </c>
      <c r="V62" s="73" t="n"/>
      <c r="W62" s="70">
        <f>IF(C62="","",IF(AND(ISNUMBER(D62),D62=0),"✔ ไม่เคยทำ (ข้าม)",IF(COUNTA(D62:P62)=0,"○ ยังไม่เริ่ม",IF(IF(D62="","จำนวน/ปี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","")="","✔ ครบ","⏳ ขาด: "&amp;TRIM(IF(D62="","จำนวน/ปี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",""))))))</f>
        <v/>
      </c>
    </row>
    <row r="63">
      <c r="A63" s="72" t="n"/>
      <c r="B63" s="73" t="n"/>
      <c r="C63" s="73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69">
        <f>IF(COUNTA(G63:I63,M63)&lt;4,"",Settings!$C$5*(G63="Yes")+Settings!$C$6*(H63="Yes")+Settings!$C$7*(I63="Yes")+Settings!$C$8*(M63="No"))</f>
        <v/>
      </c>
      <c r="S63" s="69">
        <f>IF(R63="","",IF(R63&gt;=Settings!$C$13,"สูง",IF(R63&gt;=Settings!$C$12,"ปานกลาง","ต่ำ")))</f>
        <v/>
      </c>
      <c r="T63" s="70">
        <f>IF(OR(S63="",P63=""),"",IF(AND(S63="สูง",P63="ตัด D2"),"⚠ เสี่ยงสูงแต่เสนอตัด D2 — ควรทบทวน",IF(AND(S63="ต่ำ",P63="คง D2"),"ℹ เสี่ยงต่ำแต่เสนอคง D2 — อาจควบคุมเกินจำเป็น",IF(AND(P63="เปลี่ยนเป็นหน่วยงานผู้เชี่ยวชาญ",M63="No"),"⚠ เสนอโอน แต่ตอบว่ายังไม่มีผู้เชี่ยวชาญตรวจ",IF(AND(P63="เปลี่ยนเป็นหน่วยงานผู้เชี่ยวชาญ",Q63=""),"⚠ ยังไม่ระบุหน่วยงานผู้เชี่ยวชาญ","")))))</f>
        <v/>
      </c>
      <c r="U63" s="69">
        <f>IF(AND(P63="ตัด D2",ISNUMBER(D63),ISNUMBER(F63)),D63*F63,"")</f>
        <v/>
      </c>
      <c r="V63" s="73" t="n"/>
      <c r="W63" s="70">
        <f>IF(C63="","",IF(AND(ISNUMBER(D63),D63=0),"✔ ไม่เคยทำ (ข้าม)",IF(COUNTA(D63:P63)=0,"○ ยังไม่เริ่ม",IF(IF(D63="","จำนวน/ปี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","")="","✔ ครบ","⏳ ขาด: "&amp;TRIM(IF(D63="","จำนวน/ปี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",""))))))</f>
        <v/>
      </c>
    </row>
    <row r="64">
      <c r="A64" s="72" t="n"/>
      <c r="B64" s="73" t="n"/>
      <c r="C64" s="73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69">
        <f>IF(COUNTA(G64:I64,M64)&lt;4,"",Settings!$C$5*(G64="Yes")+Settings!$C$6*(H64="Yes")+Settings!$C$7*(I64="Yes")+Settings!$C$8*(M64="No"))</f>
        <v/>
      </c>
      <c r="S64" s="69">
        <f>IF(R64="","",IF(R64&gt;=Settings!$C$13,"สูง",IF(R64&gt;=Settings!$C$12,"ปานกลาง","ต่ำ")))</f>
        <v/>
      </c>
      <c r="T64" s="70">
        <f>IF(OR(S64="",P64=""),"",IF(AND(S64="สูง",P64="ตัด D2"),"⚠ เสี่ยงสูงแต่เสนอตัด D2 — ควรทบทวน",IF(AND(S64="ต่ำ",P64="คง D2"),"ℹ เสี่ยงต่ำแต่เสนอคง D2 — อาจควบคุมเกินจำเป็น",IF(AND(P64="เปลี่ยนเป็นหน่วยงานผู้เชี่ยวชาญ",M64="No"),"⚠ เสนอโอน แต่ตอบว่ายังไม่มีผู้เชี่ยวชาญตรวจ",IF(AND(P64="เปลี่ยนเป็นหน่วยงานผู้เชี่ยวชาญ",Q64=""),"⚠ ยังไม่ระบุหน่วยงานผู้เชี่ยวชาญ","")))))</f>
        <v/>
      </c>
      <c r="U64" s="69">
        <f>IF(AND(P64="ตัด D2",ISNUMBER(D64),ISNUMBER(F64)),D64*F64,"")</f>
        <v/>
      </c>
      <c r="V64" s="73" t="n"/>
      <c r="W64" s="70">
        <f>IF(C64="","",IF(AND(ISNUMBER(D64),D64=0),"✔ ไม่เคยทำ (ข้าม)",IF(COUNTA(D64:P64)=0,"○ ยังไม่เริ่ม",IF(IF(D64="","จำนวน/ปี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","")="","✔ ครบ","⏳ ขาด: "&amp;TRIM(IF(D64="","จำนวน/ปี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",""))))))</f>
        <v/>
      </c>
    </row>
    <row r="65">
      <c r="A65" s="72" t="n"/>
      <c r="B65" s="73" t="n"/>
      <c r="C65" s="73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69">
        <f>IF(COUNTA(G65:I65,M65)&lt;4,"",Settings!$C$5*(G65="Yes")+Settings!$C$6*(H65="Yes")+Settings!$C$7*(I65="Yes")+Settings!$C$8*(M65="No"))</f>
        <v/>
      </c>
      <c r="S65" s="69">
        <f>IF(R65="","",IF(R65&gt;=Settings!$C$13,"สูง",IF(R65&gt;=Settings!$C$12,"ปานกลาง","ต่ำ")))</f>
        <v/>
      </c>
      <c r="T65" s="70">
        <f>IF(OR(S65="",P65=""),"",IF(AND(S65="สูง",P65="ตัด D2"),"⚠ เสี่ยงสูงแต่เสนอตัด D2 — ควรทบทวน",IF(AND(S65="ต่ำ",P65="คง D2"),"ℹ เสี่ยงต่ำแต่เสนอคง D2 — อาจควบคุมเกินจำเป็น",IF(AND(P65="เปลี่ยนเป็นหน่วยงานผู้เชี่ยวชาญ",M65="No"),"⚠ เสนอโอน แต่ตอบว่ายังไม่มีผู้เชี่ยวชาญตรวจ",IF(AND(P65="เปลี่ยนเป็นหน่วยงานผู้เชี่ยวชาญ",Q65=""),"⚠ ยังไม่ระบุหน่วยงานผู้เชี่ยวชาญ","")))))</f>
        <v/>
      </c>
      <c r="U65" s="69">
        <f>IF(AND(P65="ตัด D2",ISNUMBER(D65),ISNUMBER(F65)),D65*F65,"")</f>
        <v/>
      </c>
      <c r="V65" s="73" t="n"/>
      <c r="W65" s="70">
        <f>IF(C65="","",IF(AND(ISNUMBER(D65),D65=0),"✔ ไม่เคยทำ (ข้าม)",IF(COUNTA(D65:P65)=0,"○ ยังไม่เริ่ม",IF(IF(D65="","จำนวน/ปี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","")="","✔ ครบ","⏳ ขาด: "&amp;TRIM(IF(D65="","จำนวน/ปี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",""))))))</f>
        <v/>
      </c>
    </row>
    <row r="66">
      <c r="A66" s="72" t="n"/>
      <c r="B66" s="73" t="n"/>
      <c r="C66" s="73" t="n"/>
      <c r="D66" s="72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69">
        <f>IF(COUNTA(G66:I66,M66)&lt;4,"",Settings!$C$5*(G66="Yes")+Settings!$C$6*(H66="Yes")+Settings!$C$7*(I66="Yes")+Settings!$C$8*(M66="No"))</f>
        <v/>
      </c>
      <c r="S66" s="69">
        <f>IF(R66="","",IF(R66&gt;=Settings!$C$13,"สูง",IF(R66&gt;=Settings!$C$12,"ปานกลาง","ต่ำ")))</f>
        <v/>
      </c>
      <c r="T66" s="70">
        <f>IF(OR(S66="",P66=""),"",IF(AND(S66="สูง",P66="ตัด D2"),"⚠ เสี่ยงสูงแต่เสนอตัด D2 — ควรทบทวน",IF(AND(S66="ต่ำ",P66="คง D2"),"ℹ เสี่ยงต่ำแต่เสนอคง D2 — อาจควบคุมเกินจำเป็น",IF(AND(P66="เปลี่ยนเป็นหน่วยงานผู้เชี่ยวชาญ",M66="No"),"⚠ เสนอโอน แต่ตอบว่ายังไม่มีผู้เชี่ยวชาญตรวจ",IF(AND(P66="เปลี่ยนเป็นหน่วยงานผู้เชี่ยวชาญ",Q66=""),"⚠ ยังไม่ระบุหน่วยงานผู้เชี่ยวชาญ","")))))</f>
        <v/>
      </c>
      <c r="U66" s="69">
        <f>IF(AND(P66="ตัด D2",ISNUMBER(D66),ISNUMBER(F66)),D66*F66,"")</f>
        <v/>
      </c>
      <c r="V66" s="73" t="n"/>
      <c r="W66" s="70">
        <f>IF(C66="","",IF(AND(ISNUMBER(D66),D66=0),"✔ ไม่เคยทำ (ข้าม)",IF(COUNTA(D66:P66)=0,"○ ยังไม่เริ่ม",IF(IF(D66="","จำนวน/ปี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","")="","✔ ครบ","⏳ ขาด: "&amp;TRIM(IF(D66="","จำนวน/ปี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",""))))))</f>
        <v/>
      </c>
    </row>
    <row r="67">
      <c r="A67" s="72" t="n"/>
      <c r="B67" s="73" t="n"/>
      <c r="C67" s="73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69">
        <f>IF(COUNTA(G67:I67,M67)&lt;4,"",Settings!$C$5*(G67="Yes")+Settings!$C$6*(H67="Yes")+Settings!$C$7*(I67="Yes")+Settings!$C$8*(M67="No"))</f>
        <v/>
      </c>
      <c r="S67" s="69">
        <f>IF(R67="","",IF(R67&gt;=Settings!$C$13,"สูง",IF(R67&gt;=Settings!$C$12,"ปานกลาง","ต่ำ")))</f>
        <v/>
      </c>
      <c r="T67" s="70">
        <f>IF(OR(S67="",P67=""),"",IF(AND(S67="สูง",P67="ตัด D2"),"⚠ เสี่ยงสูงแต่เสนอตัด D2 — ควรทบทวน",IF(AND(S67="ต่ำ",P67="คง D2"),"ℹ เสี่ยงต่ำแต่เสนอคง D2 — อาจควบคุมเกินจำเป็น",IF(AND(P67="เปลี่ยนเป็นหน่วยงานผู้เชี่ยวชาญ",M67="No"),"⚠ เสนอโอน แต่ตอบว่ายังไม่มีผู้เชี่ยวชาญตรวจ",IF(AND(P67="เปลี่ยนเป็นหน่วยงานผู้เชี่ยวชาญ",Q67=""),"⚠ ยังไม่ระบุหน่วยงานผู้เชี่ยวชาญ","")))))</f>
        <v/>
      </c>
      <c r="U67" s="69">
        <f>IF(AND(P67="ตัด D2",ISNUMBER(D67),ISNUMBER(F67)),D67*F67,"")</f>
        <v/>
      </c>
      <c r="V67" s="73" t="n"/>
      <c r="W67" s="70">
        <f>IF(C67="","",IF(AND(ISNUMBER(D67),D67=0),"✔ ไม่เคยทำ (ข้าม)",IF(COUNTA(D67:P67)=0,"○ ยังไม่เริ่ม",IF(IF(D67="","จำนวน/ปี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","")="","✔ ครบ","⏳ ขาด: "&amp;TRIM(IF(D67="","จำนวน/ปี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",""))))))</f>
        <v/>
      </c>
    </row>
    <row r="68">
      <c r="A68" s="72" t="n"/>
      <c r="B68" s="73" t="n"/>
      <c r="C68" s="73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69">
        <f>IF(COUNTA(G68:I68,M68)&lt;4,"",Settings!$C$5*(G68="Yes")+Settings!$C$6*(H68="Yes")+Settings!$C$7*(I68="Yes")+Settings!$C$8*(M68="No"))</f>
        <v/>
      </c>
      <c r="S68" s="69">
        <f>IF(R68="","",IF(R68&gt;=Settings!$C$13,"สูง",IF(R68&gt;=Settings!$C$12,"ปานกลาง","ต่ำ")))</f>
        <v/>
      </c>
      <c r="T68" s="70">
        <f>IF(OR(S68="",P68=""),"",IF(AND(S68="สูง",P68="ตัด D2"),"⚠ เสี่ยงสูงแต่เสนอตัด D2 — ควรทบทวน",IF(AND(S68="ต่ำ",P68="คง D2"),"ℹ เสี่ยงต่ำแต่เสนอคง D2 — อาจควบคุมเกินจำเป็น",IF(AND(P68="เปลี่ยนเป็นหน่วยงานผู้เชี่ยวชาญ",M68="No"),"⚠ เสนอโอน แต่ตอบว่ายังไม่มีผู้เชี่ยวชาญตรวจ",IF(AND(P68="เปลี่ยนเป็นหน่วยงานผู้เชี่ยวชาญ",Q68=""),"⚠ ยังไม่ระบุหน่วยงานผู้เชี่ยวชาญ","")))))</f>
        <v/>
      </c>
      <c r="U68" s="69">
        <f>IF(AND(P68="ตัด D2",ISNUMBER(D68),ISNUMBER(F68)),D68*F68,"")</f>
        <v/>
      </c>
      <c r="V68" s="73" t="n"/>
      <c r="W68" s="70">
        <f>IF(C68="","",IF(AND(ISNUMBER(D68),D68=0),"✔ ไม่เคยทำ (ข้าม)",IF(COUNTA(D68:P68)=0,"○ ยังไม่เริ่ม",IF(IF(D68="","จำนวน/ปี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","")="","✔ ครบ","⏳ ขาด: "&amp;TRIM(IF(D68="","จำนวน/ปี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",""))))))</f>
        <v/>
      </c>
    </row>
    <row r="69">
      <c r="A69" s="72" t="n"/>
      <c r="B69" s="73" t="n"/>
      <c r="C69" s="73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69">
        <f>IF(COUNTA(G69:I69,M69)&lt;4,"",Settings!$C$5*(G69="Yes")+Settings!$C$6*(H69="Yes")+Settings!$C$7*(I69="Yes")+Settings!$C$8*(M69="No"))</f>
        <v/>
      </c>
      <c r="S69" s="69">
        <f>IF(R69="","",IF(R69&gt;=Settings!$C$13,"สูง",IF(R69&gt;=Settings!$C$12,"ปานกลาง","ต่ำ")))</f>
        <v/>
      </c>
      <c r="T69" s="70">
        <f>IF(OR(S69="",P69=""),"",IF(AND(S69="สูง",P69="ตัด D2"),"⚠ เสี่ยงสูงแต่เสนอตัด D2 — ควรทบทวน",IF(AND(S69="ต่ำ",P69="คง D2"),"ℹ เสี่ยงต่ำแต่เสนอคง D2 — อาจควบคุมเกินจำเป็น",IF(AND(P69="เปลี่ยนเป็นหน่วยงานผู้เชี่ยวชาญ",M69="No"),"⚠ เสนอโอน แต่ตอบว่ายังไม่มีผู้เชี่ยวชาญตรวจ",IF(AND(P69="เปลี่ยนเป็นหน่วยงานผู้เชี่ยวชาญ",Q69=""),"⚠ ยังไม่ระบุหน่วยงานผู้เชี่ยวชาญ","")))))</f>
        <v/>
      </c>
      <c r="U69" s="69">
        <f>IF(AND(P69="ตัด D2",ISNUMBER(D69),ISNUMBER(F69)),D69*F69,"")</f>
        <v/>
      </c>
      <c r="V69" s="73" t="n"/>
      <c r="W69" s="70">
        <f>IF(C69="","",IF(AND(ISNUMBER(D69),D69=0),"✔ ไม่เคยทำ (ข้าม)",IF(COUNTA(D69:P69)=0,"○ ยังไม่เริ่ม",IF(IF(D69="","จำนวน/ปี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","")="","✔ ครบ","⏳ ขาด: "&amp;TRIM(IF(D69="","จำนวน/ปี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",""))))))</f>
        <v/>
      </c>
    </row>
    <row r="70">
      <c r="A70" s="72" t="n"/>
      <c r="B70" s="73" t="n"/>
      <c r="C70" s="73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69">
        <f>IF(COUNTA(G70:I70,M70)&lt;4,"",Settings!$C$5*(G70="Yes")+Settings!$C$6*(H70="Yes")+Settings!$C$7*(I70="Yes")+Settings!$C$8*(M70="No"))</f>
        <v/>
      </c>
      <c r="S70" s="69">
        <f>IF(R70="","",IF(R70&gt;=Settings!$C$13,"สูง",IF(R70&gt;=Settings!$C$12,"ปานกลาง","ต่ำ")))</f>
        <v/>
      </c>
      <c r="T70" s="70">
        <f>IF(OR(S70="",P70=""),"",IF(AND(S70="สูง",P70="ตัด D2"),"⚠ เสี่ยงสูงแต่เสนอตัด D2 — ควรทบทวน",IF(AND(S70="ต่ำ",P70="คง D2"),"ℹ เสี่ยงต่ำแต่เสนอคง D2 — อาจควบคุมเกินจำเป็น",IF(AND(P70="เปลี่ยนเป็นหน่วยงานผู้เชี่ยวชาญ",M70="No"),"⚠ เสนอโอน แต่ตอบว่ายังไม่มีผู้เชี่ยวชาญตรวจ",IF(AND(P70="เปลี่ยนเป็นหน่วยงานผู้เชี่ยวชาญ",Q70=""),"⚠ ยังไม่ระบุหน่วยงานผู้เชี่ยวชาญ","")))))</f>
        <v/>
      </c>
      <c r="U70" s="69">
        <f>IF(AND(P70="ตัด D2",ISNUMBER(D70),ISNUMBER(F70)),D70*F70,"")</f>
        <v/>
      </c>
      <c r="V70" s="73" t="n"/>
      <c r="W70" s="70">
        <f>IF(C70="","",IF(AND(ISNUMBER(D70),D70=0),"✔ ไม่เคยทำ (ข้าม)",IF(COUNTA(D70:P70)=0,"○ ยังไม่เริ่ม",IF(IF(D70="","จำนวน/ปี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","")="","✔ ครบ","⏳ ขาด: "&amp;TRIM(IF(D70="","จำนวน/ปี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",""))))))</f>
        <v/>
      </c>
    </row>
    <row r="71">
      <c r="A71" s="72" t="n"/>
      <c r="B71" s="73" t="n"/>
      <c r="C71" s="73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69">
        <f>IF(COUNTA(G71:I71,M71)&lt;4,"",Settings!$C$5*(G71="Yes")+Settings!$C$6*(H71="Yes")+Settings!$C$7*(I71="Yes")+Settings!$C$8*(M71="No"))</f>
        <v/>
      </c>
      <c r="S71" s="69">
        <f>IF(R71="","",IF(R71&gt;=Settings!$C$13,"สูง",IF(R71&gt;=Settings!$C$12,"ปานกลาง","ต่ำ")))</f>
        <v/>
      </c>
      <c r="T71" s="70">
        <f>IF(OR(S71="",P71=""),"",IF(AND(S71="สูง",P71="ตัด D2"),"⚠ เสี่ยงสูงแต่เสนอตัด D2 — ควรทบทวน",IF(AND(S71="ต่ำ",P71="คง D2"),"ℹ เสี่ยงต่ำแต่เสนอคง D2 — อาจควบคุมเกินจำเป็น",IF(AND(P71="เปลี่ยนเป็นหน่วยงานผู้เชี่ยวชาญ",M71="No"),"⚠ เสนอโอน แต่ตอบว่ายังไม่มีผู้เชี่ยวชาญตรวจ",IF(AND(P71="เปลี่ยนเป็นหน่วยงานผู้เชี่ยวชาญ",Q71=""),"⚠ ยังไม่ระบุหน่วยงานผู้เชี่ยวชาญ","")))))</f>
        <v/>
      </c>
      <c r="U71" s="69">
        <f>IF(AND(P71="ตัด D2",ISNUMBER(D71),ISNUMBER(F71)),D71*F71,"")</f>
        <v/>
      </c>
      <c r="V71" s="73" t="n"/>
      <c r="W71" s="70">
        <f>IF(C71="","",IF(AND(ISNUMBER(D71),D71=0),"✔ ไม่เคยทำ (ข้าม)",IF(COUNTA(D71:P71)=0,"○ ยังไม่เริ่ม",IF(IF(D71="","จำนวน/ปี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","")="","✔ ครบ","⏳ ขาด: "&amp;TRIM(IF(D71="","จำนวน/ปี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",""))))))</f>
        <v/>
      </c>
    </row>
    <row r="72">
      <c r="A72" s="72" t="n"/>
      <c r="B72" s="73" t="n"/>
      <c r="C72" s="73" t="n"/>
      <c r="D72" s="72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69">
        <f>IF(COUNTA(G72:I72,M72)&lt;4,"",Settings!$C$5*(G72="Yes")+Settings!$C$6*(H72="Yes")+Settings!$C$7*(I72="Yes")+Settings!$C$8*(M72="No"))</f>
        <v/>
      </c>
      <c r="S72" s="69">
        <f>IF(R72="","",IF(R72&gt;=Settings!$C$13,"สูง",IF(R72&gt;=Settings!$C$12,"ปานกลาง","ต่ำ")))</f>
        <v/>
      </c>
      <c r="T72" s="70">
        <f>IF(OR(S72="",P72=""),"",IF(AND(S72="สูง",P72="ตัด D2"),"⚠ เสี่ยงสูงแต่เสนอตัด D2 — ควรทบทวน",IF(AND(S72="ต่ำ",P72="คง D2"),"ℹ เสี่ยงต่ำแต่เสนอคง D2 — อาจควบคุมเกินจำเป็น",IF(AND(P72="เปลี่ยนเป็นหน่วยงานผู้เชี่ยวชาญ",M72="No"),"⚠ เสนอโอน แต่ตอบว่ายังไม่มีผู้เชี่ยวชาญตรวจ",IF(AND(P72="เปลี่ยนเป็นหน่วยงานผู้เชี่ยวชาญ",Q72=""),"⚠ ยังไม่ระบุหน่วยงานผู้เชี่ยวชาญ","")))))</f>
        <v/>
      </c>
      <c r="U72" s="69">
        <f>IF(AND(P72="ตัด D2",ISNUMBER(D72),ISNUMBER(F72)),D72*F72,"")</f>
        <v/>
      </c>
      <c r="V72" s="73" t="n"/>
      <c r="W72" s="70">
        <f>IF(C72="","",IF(AND(ISNUMBER(D72),D72=0),"✔ ไม่เคยทำ (ข้าม)",IF(COUNTA(D72:P72)=0,"○ ยังไม่เริ่ม",IF(IF(D72="","จำนวน/ปี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","")="","✔ ครบ","⏳ ขาด: "&amp;TRIM(IF(D72="","จำนวน/ปี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",""))))))</f>
        <v/>
      </c>
    </row>
    <row r="73">
      <c r="A73" s="72" t="n"/>
      <c r="B73" s="73" t="n"/>
      <c r="C73" s="73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69">
        <f>IF(COUNTA(G73:I73,M73)&lt;4,"",Settings!$C$5*(G73="Yes")+Settings!$C$6*(H73="Yes")+Settings!$C$7*(I73="Yes")+Settings!$C$8*(M73="No"))</f>
        <v/>
      </c>
      <c r="S73" s="69">
        <f>IF(R73="","",IF(R73&gt;=Settings!$C$13,"สูง",IF(R73&gt;=Settings!$C$12,"ปานกลาง","ต่ำ")))</f>
        <v/>
      </c>
      <c r="T73" s="70">
        <f>IF(OR(S73="",P73=""),"",IF(AND(S73="สูง",P73="ตัด D2"),"⚠ เสี่ยงสูงแต่เสนอตัด D2 — ควรทบทวน",IF(AND(S73="ต่ำ",P73="คง D2"),"ℹ เสี่ยงต่ำแต่เสนอคง D2 — อาจควบคุมเกินจำเป็น",IF(AND(P73="เปลี่ยนเป็นหน่วยงานผู้เชี่ยวชาญ",M73="No"),"⚠ เสนอโอน แต่ตอบว่ายังไม่มีผู้เชี่ยวชาญตรวจ",IF(AND(P73="เปลี่ยนเป็นหน่วยงานผู้เชี่ยวชาญ",Q73=""),"⚠ ยังไม่ระบุหน่วยงานผู้เชี่ยวชาญ","")))))</f>
        <v/>
      </c>
      <c r="U73" s="69">
        <f>IF(AND(P73="ตัด D2",ISNUMBER(D73),ISNUMBER(F73)),D73*F73,"")</f>
        <v/>
      </c>
      <c r="V73" s="73" t="n"/>
      <c r="W73" s="70">
        <f>IF(C73="","",IF(AND(ISNUMBER(D73),D73=0),"✔ ไม่เคยทำ (ข้าม)",IF(COUNTA(D73:P73)=0,"○ ยังไม่เริ่ม",IF(IF(D73="","จำนวน/ปี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","")="","✔ ครบ","⏳ ขาด: "&amp;TRIM(IF(D73="","จำนวน/ปี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",""))))))</f>
        <v/>
      </c>
    </row>
    <row r="74">
      <c r="A74" s="72" t="n"/>
      <c r="B74" s="73" t="n"/>
      <c r="C74" s="73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69">
        <f>IF(COUNTA(G74:I74,M74)&lt;4,"",Settings!$C$5*(G74="Yes")+Settings!$C$6*(H74="Yes")+Settings!$C$7*(I74="Yes")+Settings!$C$8*(M74="No"))</f>
        <v/>
      </c>
      <c r="S74" s="69">
        <f>IF(R74="","",IF(R74&gt;=Settings!$C$13,"สูง",IF(R74&gt;=Settings!$C$12,"ปานกลาง","ต่ำ")))</f>
        <v/>
      </c>
      <c r="T74" s="70">
        <f>IF(OR(S74="",P74=""),"",IF(AND(S74="สูง",P74="ตัด D2"),"⚠ เสี่ยงสูงแต่เสนอตัด D2 — ควรทบทวน",IF(AND(S74="ต่ำ",P74="คง D2"),"ℹ เสี่ยงต่ำแต่เสนอคง D2 — อาจควบคุมเกินจำเป็น",IF(AND(P74="เปลี่ยนเป็นหน่วยงานผู้เชี่ยวชาญ",M74="No"),"⚠ เสนอโอน แต่ตอบว่ายังไม่มีผู้เชี่ยวชาญตรวจ",IF(AND(P74="เปลี่ยนเป็นหน่วยงานผู้เชี่ยวชาญ",Q74=""),"⚠ ยังไม่ระบุหน่วยงานผู้เชี่ยวชาญ","")))))</f>
        <v/>
      </c>
      <c r="U74" s="69">
        <f>IF(AND(P74="ตัด D2",ISNUMBER(D74),ISNUMBER(F74)),D74*F74,"")</f>
        <v/>
      </c>
      <c r="V74" s="73" t="n"/>
      <c r="W74" s="70">
        <f>IF(C74="","",IF(AND(ISNUMBER(D74),D74=0),"✔ ไม่เคยทำ (ข้าม)",IF(COUNTA(D74:P74)=0,"○ ยังไม่เริ่ม",IF(IF(D74="","จำนวน/ปี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","")="","✔ ครบ","⏳ ขาด: "&amp;TRIM(IF(D74="","จำนวน/ปี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",""))))))</f>
        <v/>
      </c>
    </row>
    <row r="75">
      <c r="A75" s="72" t="n"/>
      <c r="B75" s="73" t="n"/>
      <c r="C75" s="73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69">
        <f>IF(COUNTA(G75:I75,M75)&lt;4,"",Settings!$C$5*(G75="Yes")+Settings!$C$6*(H75="Yes")+Settings!$C$7*(I75="Yes")+Settings!$C$8*(M75="No"))</f>
        <v/>
      </c>
      <c r="S75" s="69">
        <f>IF(R75="","",IF(R75&gt;=Settings!$C$13,"สูง",IF(R75&gt;=Settings!$C$12,"ปานกลาง","ต่ำ")))</f>
        <v/>
      </c>
      <c r="T75" s="70">
        <f>IF(OR(S75="",P75=""),"",IF(AND(S75="สูง",P75="ตัด D2"),"⚠ เสี่ยงสูงแต่เสนอตัด D2 — ควรทบทวน",IF(AND(S75="ต่ำ",P75="คง D2"),"ℹ เสี่ยงต่ำแต่เสนอคง D2 — อาจควบคุมเกินจำเป็น",IF(AND(P75="เปลี่ยนเป็นหน่วยงานผู้เชี่ยวชาญ",M75="No"),"⚠ เสนอโอน แต่ตอบว่ายังไม่มีผู้เชี่ยวชาญตรวจ",IF(AND(P75="เปลี่ยนเป็นหน่วยงานผู้เชี่ยวชาญ",Q75=""),"⚠ ยังไม่ระบุหน่วยงานผู้เชี่ยวชาญ","")))))</f>
        <v/>
      </c>
      <c r="U75" s="69">
        <f>IF(AND(P75="ตัด D2",ISNUMBER(D75),ISNUMBER(F75)),D75*F75,"")</f>
        <v/>
      </c>
      <c r="V75" s="73" t="n"/>
      <c r="W75" s="70">
        <f>IF(C75="","",IF(AND(ISNUMBER(D75),D75=0),"✔ ไม่เคยทำ (ข้าม)",IF(COUNTA(D75:P75)=0,"○ ยังไม่เริ่ม",IF(IF(D75="","จำนวน/ปี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","")="","✔ ครบ","⏳ ขาด: "&amp;TRIM(IF(D75="","จำนวน/ปี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",""))))))</f>
        <v/>
      </c>
    </row>
    <row r="76">
      <c r="A76" s="72" t="n"/>
      <c r="B76" s="73" t="n"/>
      <c r="C76" s="73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69">
        <f>IF(COUNTA(G76:I76,M76)&lt;4,"",Settings!$C$5*(G76="Yes")+Settings!$C$6*(H76="Yes")+Settings!$C$7*(I76="Yes")+Settings!$C$8*(M76="No"))</f>
        <v/>
      </c>
      <c r="S76" s="69">
        <f>IF(R76="","",IF(R76&gt;=Settings!$C$13,"สูง",IF(R76&gt;=Settings!$C$12,"ปานกลาง","ต่ำ")))</f>
        <v/>
      </c>
      <c r="T76" s="70">
        <f>IF(OR(S76="",P76=""),"",IF(AND(S76="สูง",P76="ตัด D2"),"⚠ เสี่ยงสูงแต่เสนอตัด D2 — ควรทบทวน",IF(AND(S76="ต่ำ",P76="คง D2"),"ℹ เสี่ยงต่ำแต่เสนอคง D2 — อาจควบคุมเกินจำเป็น",IF(AND(P76="เปลี่ยนเป็นหน่วยงานผู้เชี่ยวชาญ",M76="No"),"⚠ เสนอโอน แต่ตอบว่ายังไม่มีผู้เชี่ยวชาญตรวจ",IF(AND(P76="เปลี่ยนเป็นหน่วยงานผู้เชี่ยวชาญ",Q76=""),"⚠ ยังไม่ระบุหน่วยงานผู้เชี่ยวชาญ","")))))</f>
        <v/>
      </c>
      <c r="U76" s="69">
        <f>IF(AND(P76="ตัด D2",ISNUMBER(D76),ISNUMBER(F76)),D76*F76,"")</f>
        <v/>
      </c>
      <c r="V76" s="73" t="n"/>
      <c r="W76" s="70">
        <f>IF(C76="","",IF(AND(ISNUMBER(D76),D76=0),"✔ ไม่เคยทำ (ข้าม)",IF(COUNTA(D76:P76)=0,"○ ยังไม่เริ่ม",IF(IF(D76="","จำนวน/ปี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","")="","✔ ครบ","⏳ ขาด: "&amp;TRIM(IF(D76="","จำนวน/ปี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",""))))))</f>
        <v/>
      </c>
    </row>
    <row r="77">
      <c r="A77" s="72" t="n"/>
      <c r="B77" s="73" t="n"/>
      <c r="C77" s="73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69">
        <f>IF(COUNTA(G77:I77,M77)&lt;4,"",Settings!$C$5*(G77="Yes")+Settings!$C$6*(H77="Yes")+Settings!$C$7*(I77="Yes")+Settings!$C$8*(M77="No"))</f>
        <v/>
      </c>
      <c r="S77" s="69">
        <f>IF(R77="","",IF(R77&gt;=Settings!$C$13,"สูง",IF(R77&gt;=Settings!$C$12,"ปานกลาง","ต่ำ")))</f>
        <v/>
      </c>
      <c r="T77" s="70">
        <f>IF(OR(S77="",P77=""),"",IF(AND(S77="สูง",P77="ตัด D2"),"⚠ เสี่ยงสูงแต่เสนอตัด D2 — ควรทบทวน",IF(AND(S77="ต่ำ",P77="คง D2"),"ℹ เสี่ยงต่ำแต่เสนอคง D2 — อาจควบคุมเกินจำเป็น",IF(AND(P77="เปลี่ยนเป็นหน่วยงานผู้เชี่ยวชาญ",M77="No"),"⚠ เสนอโอน แต่ตอบว่ายังไม่มีผู้เชี่ยวชาญตรวจ",IF(AND(P77="เปลี่ยนเป็นหน่วยงานผู้เชี่ยวชาญ",Q77=""),"⚠ ยังไม่ระบุหน่วยงานผู้เชี่ยวชาญ","")))))</f>
        <v/>
      </c>
      <c r="U77" s="69">
        <f>IF(AND(P77="ตัด D2",ISNUMBER(D77),ISNUMBER(F77)),D77*F77,"")</f>
        <v/>
      </c>
      <c r="V77" s="73" t="n"/>
      <c r="W77" s="70">
        <f>IF(C77="","",IF(AND(ISNUMBER(D77),D77=0),"✔ ไม่เคยทำ (ข้าม)",IF(COUNTA(D77:P77)=0,"○ ยังไม่เริ่ม",IF(IF(D77="","จำนวน/ปี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","")="","✔ ครบ","⏳ ขาด: "&amp;TRIM(IF(D77="","จำนวน/ปี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",""))))))</f>
        <v/>
      </c>
    </row>
    <row r="78">
      <c r="A78" s="72" t="n"/>
      <c r="B78" s="73" t="n"/>
      <c r="C78" s="73" t="n"/>
      <c r="D78" s="72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  <c r="N78" s="72" t="n"/>
      <c r="O78" s="72" t="n"/>
      <c r="P78" s="72" t="n"/>
      <c r="Q78" s="72" t="n"/>
      <c r="R78" s="69">
        <f>IF(COUNTA(G78:I78,M78)&lt;4,"",Settings!$C$5*(G78="Yes")+Settings!$C$6*(H78="Yes")+Settings!$C$7*(I78="Yes")+Settings!$C$8*(M78="No"))</f>
        <v/>
      </c>
      <c r="S78" s="69">
        <f>IF(R78="","",IF(R78&gt;=Settings!$C$13,"สูง",IF(R78&gt;=Settings!$C$12,"ปานกลาง","ต่ำ")))</f>
        <v/>
      </c>
      <c r="T78" s="70">
        <f>IF(OR(S78="",P78=""),"",IF(AND(S78="สูง",P78="ตัด D2"),"⚠ เสี่ยงสูงแต่เสนอตัด D2 — ควรทบทวน",IF(AND(S78="ต่ำ",P78="คง D2"),"ℹ เสี่ยงต่ำแต่เสนอคง D2 — อาจควบคุมเกินจำเป็น",IF(AND(P78="เปลี่ยนเป็นหน่วยงานผู้เชี่ยวชาญ",M78="No"),"⚠ เสนอโอน แต่ตอบว่ายังไม่มีผู้เชี่ยวชาญตรวจ",IF(AND(P78="เปลี่ยนเป็นหน่วยงานผู้เชี่ยวชาญ",Q78=""),"⚠ ยังไม่ระบุหน่วยงานผู้เชี่ยวชาญ","")))))</f>
        <v/>
      </c>
      <c r="U78" s="69">
        <f>IF(AND(P78="ตัด D2",ISNUMBER(D78),ISNUMBER(F78)),D78*F78,"")</f>
        <v/>
      </c>
      <c r="V78" s="73" t="n"/>
      <c r="W78" s="70">
        <f>IF(C78="","",IF(AND(ISNUMBER(D78),D78=0),"✔ ไม่เคยทำ (ข้าม)",IF(COUNTA(D78:P78)=0,"○ ยังไม่เริ่ม",IF(IF(D78="","จำนวน/ปี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","")="","✔ ครบ","⏳ ขาด: "&amp;TRIM(IF(D78="","จำนวน/ปี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",""))))))</f>
        <v/>
      </c>
    </row>
    <row r="79">
      <c r="A79" s="72" t="n"/>
      <c r="B79" s="73" t="n"/>
      <c r="C79" s="73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69">
        <f>IF(COUNTA(G79:I79,M79)&lt;4,"",Settings!$C$5*(G79="Yes")+Settings!$C$6*(H79="Yes")+Settings!$C$7*(I79="Yes")+Settings!$C$8*(M79="No"))</f>
        <v/>
      </c>
      <c r="S79" s="69">
        <f>IF(R79="","",IF(R79&gt;=Settings!$C$13,"สูง",IF(R79&gt;=Settings!$C$12,"ปานกลาง","ต่ำ")))</f>
        <v/>
      </c>
      <c r="T79" s="70">
        <f>IF(OR(S79="",P79=""),"",IF(AND(S79="สูง",P79="ตัด D2"),"⚠ เสี่ยงสูงแต่เสนอตัด D2 — ควรทบทวน",IF(AND(S79="ต่ำ",P79="คง D2"),"ℹ เสี่ยงต่ำแต่เสนอคง D2 — อาจควบคุมเกินจำเป็น",IF(AND(P79="เปลี่ยนเป็นหน่วยงานผู้เชี่ยวชาญ",M79="No"),"⚠ เสนอโอน แต่ตอบว่ายังไม่มีผู้เชี่ยวชาญตรวจ",IF(AND(P79="เปลี่ยนเป็นหน่วยงานผู้เชี่ยวชาญ",Q79=""),"⚠ ยังไม่ระบุหน่วยงานผู้เชี่ยวชาญ","")))))</f>
        <v/>
      </c>
      <c r="U79" s="69">
        <f>IF(AND(P79="ตัด D2",ISNUMBER(D79),ISNUMBER(F79)),D79*F79,"")</f>
        <v/>
      </c>
      <c r="V79" s="73" t="n"/>
      <c r="W79" s="70">
        <f>IF(C79="","",IF(AND(ISNUMBER(D79),D79=0),"✔ ไม่เคยทำ (ข้าม)",IF(COUNTA(D79:P79)=0,"○ ยังไม่เริ่ม",IF(IF(D79="","จำนวน/ปี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","")="","✔ ครบ","⏳ ขาด: "&amp;TRIM(IF(D79="","จำนวน/ปี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",""))))))</f>
        <v/>
      </c>
    </row>
    <row r="80">
      <c r="A80" s="72" t="n"/>
      <c r="B80" s="73" t="n"/>
      <c r="C80" s="73" t="n"/>
      <c r="D80" s="72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69">
        <f>IF(COUNTA(G80:I80,M80)&lt;4,"",Settings!$C$5*(G80="Yes")+Settings!$C$6*(H80="Yes")+Settings!$C$7*(I80="Yes")+Settings!$C$8*(M80="No"))</f>
        <v/>
      </c>
      <c r="S80" s="69">
        <f>IF(R80="","",IF(R80&gt;=Settings!$C$13,"สูง",IF(R80&gt;=Settings!$C$12,"ปานกลาง","ต่ำ")))</f>
        <v/>
      </c>
      <c r="T80" s="70">
        <f>IF(OR(S80="",P80=""),"",IF(AND(S80="สูง",P80="ตัด D2"),"⚠ เสี่ยงสูงแต่เสนอตัด D2 — ควรทบทวน",IF(AND(S80="ต่ำ",P80="คง D2"),"ℹ เสี่ยงต่ำแต่เสนอคง D2 — อาจควบคุมเกินจำเป็น",IF(AND(P80="เปลี่ยนเป็นหน่วยงานผู้เชี่ยวชาญ",M80="No"),"⚠ เสนอโอน แต่ตอบว่ายังไม่มีผู้เชี่ยวชาญตรวจ",IF(AND(P80="เปลี่ยนเป็นหน่วยงานผู้เชี่ยวชาญ",Q80=""),"⚠ ยังไม่ระบุหน่วยงานผู้เชี่ยวชาญ","")))))</f>
        <v/>
      </c>
      <c r="U80" s="69">
        <f>IF(AND(P80="ตัด D2",ISNUMBER(D80),ISNUMBER(F80)),D80*F80,"")</f>
        <v/>
      </c>
      <c r="V80" s="73" t="n"/>
      <c r="W80" s="70">
        <f>IF(C80="","",IF(AND(ISNUMBER(D80),D80=0),"✔ ไม่เคยทำ (ข้าม)",IF(COUNTA(D80:P80)=0,"○ ยังไม่เริ่ม",IF(IF(D80="","จำนวน/ปี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","")="","✔ ครบ","⏳ ขาด: "&amp;TRIM(IF(D80="","จำนวน/ปี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",""))))))</f>
        <v/>
      </c>
    </row>
    <row r="81">
      <c r="A81" s="72" t="n"/>
      <c r="B81" s="73" t="n"/>
      <c r="C81" s="73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69">
        <f>IF(COUNTA(G81:I81,M81)&lt;4,"",Settings!$C$5*(G81="Yes")+Settings!$C$6*(H81="Yes")+Settings!$C$7*(I81="Yes")+Settings!$C$8*(M81="No"))</f>
        <v/>
      </c>
      <c r="S81" s="69">
        <f>IF(R81="","",IF(R81&gt;=Settings!$C$13,"สูง",IF(R81&gt;=Settings!$C$12,"ปานกลาง","ต่ำ")))</f>
        <v/>
      </c>
      <c r="T81" s="70">
        <f>IF(OR(S81="",P81=""),"",IF(AND(S81="สูง",P81="ตัด D2"),"⚠ เสี่ยงสูงแต่เสนอตัด D2 — ควรทบทวน",IF(AND(S81="ต่ำ",P81="คง D2"),"ℹ เสี่ยงต่ำแต่เสนอคง D2 — อาจควบคุมเกินจำเป็น",IF(AND(P81="เปลี่ยนเป็นหน่วยงานผู้เชี่ยวชาญ",M81="No"),"⚠ เสนอโอน แต่ตอบว่ายังไม่มีผู้เชี่ยวชาญตรวจ",IF(AND(P81="เปลี่ยนเป็นหน่วยงานผู้เชี่ยวชาญ",Q81=""),"⚠ ยังไม่ระบุหน่วยงานผู้เชี่ยวชาญ","")))))</f>
        <v/>
      </c>
      <c r="U81" s="69">
        <f>IF(AND(P81="ตัด D2",ISNUMBER(D81),ISNUMBER(F81)),D81*F81,"")</f>
        <v/>
      </c>
      <c r="V81" s="73" t="n"/>
      <c r="W81" s="70">
        <f>IF(C81="","",IF(AND(ISNUMBER(D81),D81=0),"✔ ไม่เคยทำ (ข้าม)",IF(COUNTA(D81:P81)=0,"○ ยังไม่เริ่ม",IF(IF(D81="","จำนวน/ปี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","")="","✔ ครบ","⏳ ขาด: "&amp;TRIM(IF(D81="","จำนวน/ปี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",""))))))</f>
        <v/>
      </c>
    </row>
    <row r="82">
      <c r="A82" s="72" t="n"/>
      <c r="B82" s="73" t="n"/>
      <c r="C82" s="73" t="n"/>
      <c r="D82" s="72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69">
        <f>IF(COUNTA(G82:I82,M82)&lt;4,"",Settings!$C$5*(G82="Yes")+Settings!$C$6*(H82="Yes")+Settings!$C$7*(I82="Yes")+Settings!$C$8*(M82="No"))</f>
        <v/>
      </c>
      <c r="S82" s="69">
        <f>IF(R82="","",IF(R82&gt;=Settings!$C$13,"สูง",IF(R82&gt;=Settings!$C$12,"ปานกลาง","ต่ำ")))</f>
        <v/>
      </c>
      <c r="T82" s="70">
        <f>IF(OR(S82="",P82=""),"",IF(AND(S82="สูง",P82="ตัด D2"),"⚠ เสี่ยงสูงแต่เสนอตัด D2 — ควรทบทวน",IF(AND(S82="ต่ำ",P82="คง D2"),"ℹ เสี่ยงต่ำแต่เสนอคง D2 — อาจควบคุมเกินจำเป็น",IF(AND(P82="เปลี่ยนเป็นหน่วยงานผู้เชี่ยวชาญ",M82="No"),"⚠ เสนอโอน แต่ตอบว่ายังไม่มีผู้เชี่ยวชาญตรวจ",IF(AND(P82="เปลี่ยนเป็นหน่วยงานผู้เชี่ยวชาญ",Q82=""),"⚠ ยังไม่ระบุหน่วยงานผู้เชี่ยวชาญ","")))))</f>
        <v/>
      </c>
      <c r="U82" s="69">
        <f>IF(AND(P82="ตัด D2",ISNUMBER(D82),ISNUMBER(F82)),D82*F82,"")</f>
        <v/>
      </c>
      <c r="V82" s="73" t="n"/>
      <c r="W82" s="70">
        <f>IF(C82="","",IF(AND(ISNUMBER(D82),D82=0),"✔ ไม่เคยทำ (ข้าม)",IF(COUNTA(D82:P82)=0,"○ ยังไม่เริ่ม",IF(IF(D82="","จำนวน/ปี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","")="","✔ ครบ","⏳ ขาด: "&amp;TRIM(IF(D82="","จำนวน/ปี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",""))))))</f>
        <v/>
      </c>
    </row>
    <row r="83">
      <c r="A83" s="72" t="n"/>
      <c r="B83" s="73" t="n"/>
      <c r="C83" s="73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69">
        <f>IF(COUNTA(G83:I83,M83)&lt;4,"",Settings!$C$5*(G83="Yes")+Settings!$C$6*(H83="Yes")+Settings!$C$7*(I83="Yes")+Settings!$C$8*(M83="No"))</f>
        <v/>
      </c>
      <c r="S83" s="69">
        <f>IF(R83="","",IF(R83&gt;=Settings!$C$13,"สูง",IF(R83&gt;=Settings!$C$12,"ปานกลาง","ต่ำ")))</f>
        <v/>
      </c>
      <c r="T83" s="70">
        <f>IF(OR(S83="",P83=""),"",IF(AND(S83="สูง",P83="ตัด D2"),"⚠ เสี่ยงสูงแต่เสนอตัด D2 — ควรทบทวน",IF(AND(S83="ต่ำ",P83="คง D2"),"ℹ เสี่ยงต่ำแต่เสนอคง D2 — อาจควบคุมเกินจำเป็น",IF(AND(P83="เปลี่ยนเป็นหน่วยงานผู้เชี่ยวชาญ",M83="No"),"⚠ เสนอโอน แต่ตอบว่ายังไม่มีผู้เชี่ยวชาญตรวจ",IF(AND(P83="เปลี่ยนเป็นหน่วยงานผู้เชี่ยวชาญ",Q83=""),"⚠ ยังไม่ระบุหน่วยงานผู้เชี่ยวชาญ","")))))</f>
        <v/>
      </c>
      <c r="U83" s="69">
        <f>IF(AND(P83="ตัด D2",ISNUMBER(D83),ISNUMBER(F83)),D83*F83,"")</f>
        <v/>
      </c>
      <c r="V83" s="73" t="n"/>
      <c r="W83" s="70">
        <f>IF(C83="","",IF(AND(ISNUMBER(D83),D83=0),"✔ ไม่เคยทำ (ข้าม)",IF(COUNTA(D83:P83)=0,"○ ยังไม่เริ่ม",IF(IF(D83="","จำนวน/ปี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","")="","✔ ครบ","⏳ ขาด: "&amp;TRIM(IF(D83="","จำนวน/ปี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",""))))))</f>
        <v/>
      </c>
    </row>
    <row r="84">
      <c r="A84" s="72" t="n"/>
      <c r="B84" s="73" t="n"/>
      <c r="C84" s="73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69">
        <f>IF(COUNTA(G84:I84,M84)&lt;4,"",Settings!$C$5*(G84="Yes")+Settings!$C$6*(H84="Yes")+Settings!$C$7*(I84="Yes")+Settings!$C$8*(M84="No"))</f>
        <v/>
      </c>
      <c r="S84" s="69">
        <f>IF(R84="","",IF(R84&gt;=Settings!$C$13,"สูง",IF(R84&gt;=Settings!$C$12,"ปานกลาง","ต่ำ")))</f>
        <v/>
      </c>
      <c r="T84" s="70">
        <f>IF(OR(S84="",P84=""),"",IF(AND(S84="สูง",P84="ตัด D2"),"⚠ เสี่ยงสูงแต่เสนอตัด D2 — ควรทบทวน",IF(AND(S84="ต่ำ",P84="คง D2"),"ℹ เสี่ยงต่ำแต่เสนอคง D2 — อาจควบคุมเกินจำเป็น",IF(AND(P84="เปลี่ยนเป็นหน่วยงานผู้เชี่ยวชาญ",M84="No"),"⚠ เสนอโอน แต่ตอบว่ายังไม่มีผู้เชี่ยวชาญตรวจ",IF(AND(P84="เปลี่ยนเป็นหน่วยงานผู้เชี่ยวชาญ",Q84=""),"⚠ ยังไม่ระบุหน่วยงานผู้เชี่ยวชาญ","")))))</f>
        <v/>
      </c>
      <c r="U84" s="69">
        <f>IF(AND(P84="ตัด D2",ISNUMBER(D84),ISNUMBER(F84)),D84*F84,"")</f>
        <v/>
      </c>
      <c r="V84" s="73" t="n"/>
      <c r="W84" s="70">
        <f>IF(C84="","",IF(AND(ISNUMBER(D84),D84=0),"✔ ไม่เคยทำ (ข้าม)",IF(COUNTA(D84:P84)=0,"○ ยังไม่เริ่ม",IF(IF(D84="","จำนวน/ปี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","")="","✔ ครบ","⏳ ขาด: "&amp;TRIM(IF(D84="","จำนวน/ปี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",""))))))</f>
        <v/>
      </c>
    </row>
    <row r="85">
      <c r="A85" s="72" t="n"/>
      <c r="B85" s="73" t="n"/>
      <c r="C85" s="73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69">
        <f>IF(COUNTA(G85:I85,M85)&lt;4,"",Settings!$C$5*(G85="Yes")+Settings!$C$6*(H85="Yes")+Settings!$C$7*(I85="Yes")+Settings!$C$8*(M85="No"))</f>
        <v/>
      </c>
      <c r="S85" s="69">
        <f>IF(R85="","",IF(R85&gt;=Settings!$C$13,"สูง",IF(R85&gt;=Settings!$C$12,"ปานกลาง","ต่ำ")))</f>
        <v/>
      </c>
      <c r="T85" s="70">
        <f>IF(OR(S85="",P85=""),"",IF(AND(S85="สูง",P85="ตัด D2"),"⚠ เสี่ยงสูงแต่เสนอตัด D2 — ควรทบทวน",IF(AND(S85="ต่ำ",P85="คง D2"),"ℹ เสี่ยงต่ำแต่เสนอคง D2 — อาจควบคุมเกินจำเป็น",IF(AND(P85="เปลี่ยนเป็นหน่วยงานผู้เชี่ยวชาญ",M85="No"),"⚠ เสนอโอน แต่ตอบว่ายังไม่มีผู้เชี่ยวชาญตรวจ",IF(AND(P85="เปลี่ยนเป็นหน่วยงานผู้เชี่ยวชาญ",Q85=""),"⚠ ยังไม่ระบุหน่วยงานผู้เชี่ยวชาญ","")))))</f>
        <v/>
      </c>
      <c r="U85" s="69">
        <f>IF(AND(P85="ตัด D2",ISNUMBER(D85),ISNUMBER(F85)),D85*F85,"")</f>
        <v/>
      </c>
      <c r="V85" s="73" t="n"/>
      <c r="W85" s="70">
        <f>IF(C85="","",IF(AND(ISNUMBER(D85),D85=0),"✔ ไม่เคยทำ (ข้าม)",IF(COUNTA(D85:P85)=0,"○ ยังไม่เริ่ม",IF(IF(D85="","จำนวน/ปี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","")="","✔ ครบ","⏳ ขาด: "&amp;TRIM(IF(D85="","จำนวน/ปี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",""))))))</f>
        <v/>
      </c>
    </row>
    <row r="86">
      <c r="A86" s="72" t="n"/>
      <c r="B86" s="73" t="n"/>
      <c r="C86" s="73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69">
        <f>IF(COUNTA(G86:I86,M86)&lt;4,"",Settings!$C$5*(G86="Yes")+Settings!$C$6*(H86="Yes")+Settings!$C$7*(I86="Yes")+Settings!$C$8*(M86="No"))</f>
        <v/>
      </c>
      <c r="S86" s="69">
        <f>IF(R86="","",IF(R86&gt;=Settings!$C$13,"สูง",IF(R86&gt;=Settings!$C$12,"ปานกลาง","ต่ำ")))</f>
        <v/>
      </c>
      <c r="T86" s="70">
        <f>IF(OR(S86="",P86=""),"",IF(AND(S86="สูง",P86="ตัด D2"),"⚠ เสี่ยงสูงแต่เสนอตัด D2 — ควรทบทวน",IF(AND(S86="ต่ำ",P86="คง D2"),"ℹ เสี่ยงต่ำแต่เสนอคง D2 — อาจควบคุมเกินจำเป็น",IF(AND(P86="เปลี่ยนเป็นหน่วยงานผู้เชี่ยวชาญ",M86="No"),"⚠ เสนอโอน แต่ตอบว่ายังไม่มีผู้เชี่ยวชาญตรวจ",IF(AND(P86="เปลี่ยนเป็นหน่วยงานผู้เชี่ยวชาญ",Q86=""),"⚠ ยังไม่ระบุหน่วยงานผู้เชี่ยวชาญ","")))))</f>
        <v/>
      </c>
      <c r="U86" s="69">
        <f>IF(AND(P86="ตัด D2",ISNUMBER(D86),ISNUMBER(F86)),D86*F86,"")</f>
        <v/>
      </c>
      <c r="V86" s="73" t="n"/>
      <c r="W86" s="70">
        <f>IF(C86="","",IF(AND(ISNUMBER(D86),D86=0),"✔ ไม่เคยทำ (ข้าม)",IF(COUNTA(D86:P86)=0,"○ ยังไม่เริ่ม",IF(IF(D86="","จำนวน/ปี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","")="","✔ ครบ","⏳ ขาด: "&amp;TRIM(IF(D86="","จำนวน/ปี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",""))))))</f>
        <v/>
      </c>
    </row>
    <row r="87">
      <c r="A87" s="72" t="n"/>
      <c r="B87" s="73" t="n"/>
      <c r="C87" s="73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69">
        <f>IF(COUNTA(G87:I87,M87)&lt;4,"",Settings!$C$5*(G87="Yes")+Settings!$C$6*(H87="Yes")+Settings!$C$7*(I87="Yes")+Settings!$C$8*(M87="No"))</f>
        <v/>
      </c>
      <c r="S87" s="69">
        <f>IF(R87="","",IF(R87&gt;=Settings!$C$13,"สูง",IF(R87&gt;=Settings!$C$12,"ปานกลาง","ต่ำ")))</f>
        <v/>
      </c>
      <c r="T87" s="70">
        <f>IF(OR(S87="",P87=""),"",IF(AND(S87="สูง",P87="ตัด D2"),"⚠ เสี่ยงสูงแต่เสนอตัด D2 — ควรทบทวน",IF(AND(S87="ต่ำ",P87="คง D2"),"ℹ เสี่ยงต่ำแต่เสนอคง D2 — อาจควบคุมเกินจำเป็น",IF(AND(P87="เปลี่ยนเป็นหน่วยงานผู้เชี่ยวชาญ",M87="No"),"⚠ เสนอโอน แต่ตอบว่ายังไม่มีผู้เชี่ยวชาญตรวจ",IF(AND(P87="เปลี่ยนเป็นหน่วยงานผู้เชี่ยวชาญ",Q87=""),"⚠ ยังไม่ระบุหน่วยงานผู้เชี่ยวชาญ","")))))</f>
        <v/>
      </c>
      <c r="U87" s="69">
        <f>IF(AND(P87="ตัด D2",ISNUMBER(D87),ISNUMBER(F87)),D87*F87,"")</f>
        <v/>
      </c>
      <c r="V87" s="73" t="n"/>
      <c r="W87" s="70">
        <f>IF(C87="","",IF(AND(ISNUMBER(D87),D87=0),"✔ ไม่เคยทำ (ข้าม)",IF(COUNTA(D87:P87)=0,"○ ยังไม่เริ่ม",IF(IF(D87="","จำนวน/ปี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","")="","✔ ครบ","⏳ ขาด: "&amp;TRIM(IF(D87="","จำนวน/ปี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",""))))))</f>
        <v/>
      </c>
    </row>
    <row r="88">
      <c r="A88" s="72" t="n"/>
      <c r="B88" s="73" t="n"/>
      <c r="C88" s="73" t="n"/>
      <c r="D88" s="72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69">
        <f>IF(COUNTA(G88:I88,M88)&lt;4,"",Settings!$C$5*(G88="Yes")+Settings!$C$6*(H88="Yes")+Settings!$C$7*(I88="Yes")+Settings!$C$8*(M88="No"))</f>
        <v/>
      </c>
      <c r="S88" s="69">
        <f>IF(R88="","",IF(R88&gt;=Settings!$C$13,"สูง",IF(R88&gt;=Settings!$C$12,"ปานกลาง","ต่ำ")))</f>
        <v/>
      </c>
      <c r="T88" s="70">
        <f>IF(OR(S88="",P88=""),"",IF(AND(S88="สูง",P88="ตัด D2"),"⚠ เสี่ยงสูงแต่เสนอตัด D2 — ควรทบทวน",IF(AND(S88="ต่ำ",P88="คง D2"),"ℹ เสี่ยงต่ำแต่เสนอคง D2 — อาจควบคุมเกินจำเป็น",IF(AND(P88="เปลี่ยนเป็นหน่วยงานผู้เชี่ยวชาญ",M88="No"),"⚠ เสนอโอน แต่ตอบว่ายังไม่มีผู้เชี่ยวชาญตรวจ",IF(AND(P88="เปลี่ยนเป็นหน่วยงานผู้เชี่ยวชาญ",Q88=""),"⚠ ยังไม่ระบุหน่วยงานผู้เชี่ยวชาญ","")))))</f>
        <v/>
      </c>
      <c r="U88" s="69">
        <f>IF(AND(P88="ตัด D2",ISNUMBER(D88),ISNUMBER(F88)),D88*F88,"")</f>
        <v/>
      </c>
      <c r="V88" s="73" t="n"/>
      <c r="W88" s="70">
        <f>IF(C88="","",IF(AND(ISNUMBER(D88),D88=0),"✔ ไม่เคยทำ (ข้าม)",IF(COUNTA(D88:P88)=0,"○ ยังไม่เริ่ม",IF(IF(D88="","จำนวน/ปี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","")="","✔ ครบ","⏳ ขาด: "&amp;TRIM(IF(D88="","จำนวน/ปี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",""))))))</f>
        <v/>
      </c>
    </row>
    <row r="89">
      <c r="A89" s="72" t="n"/>
      <c r="B89" s="73" t="n"/>
      <c r="C89" s="73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69">
        <f>IF(COUNTA(G89:I89,M89)&lt;4,"",Settings!$C$5*(G89="Yes")+Settings!$C$6*(H89="Yes")+Settings!$C$7*(I89="Yes")+Settings!$C$8*(M89="No"))</f>
        <v/>
      </c>
      <c r="S89" s="69">
        <f>IF(R89="","",IF(R89&gt;=Settings!$C$13,"สูง",IF(R89&gt;=Settings!$C$12,"ปานกลาง","ต่ำ")))</f>
        <v/>
      </c>
      <c r="T89" s="70">
        <f>IF(OR(S89="",P89=""),"",IF(AND(S89="สูง",P89="ตัด D2"),"⚠ เสี่ยงสูงแต่เสนอตัด D2 — ควรทบทวน",IF(AND(S89="ต่ำ",P89="คง D2"),"ℹ เสี่ยงต่ำแต่เสนอคง D2 — อาจควบคุมเกินจำเป็น",IF(AND(P89="เปลี่ยนเป็นหน่วยงานผู้เชี่ยวชาญ",M89="No"),"⚠ เสนอโอน แต่ตอบว่ายังไม่มีผู้เชี่ยวชาญตรวจ",IF(AND(P89="เปลี่ยนเป็นหน่วยงานผู้เชี่ยวชาญ",Q89=""),"⚠ ยังไม่ระบุหน่วยงานผู้เชี่ยวชาญ","")))))</f>
        <v/>
      </c>
      <c r="U89" s="69">
        <f>IF(AND(P89="ตัด D2",ISNUMBER(D89),ISNUMBER(F89)),D89*F89,"")</f>
        <v/>
      </c>
      <c r="V89" s="73" t="n"/>
      <c r="W89" s="70">
        <f>IF(C89="","",IF(AND(ISNUMBER(D89),D89=0),"✔ ไม่เคยทำ (ข้าม)",IF(COUNTA(D89:P89)=0,"○ ยังไม่เริ่ม",IF(IF(D89="","จำนวน/ปี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","")="","✔ ครบ","⏳ ขาด: "&amp;TRIM(IF(D89="","จำนวน/ปี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",""))))))</f>
        <v/>
      </c>
    </row>
    <row r="90">
      <c r="A90" s="72" t="n"/>
      <c r="B90" s="73" t="n"/>
      <c r="C90" s="73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  <c r="N90" s="72" t="n"/>
      <c r="O90" s="72" t="n"/>
      <c r="P90" s="72" t="n"/>
      <c r="Q90" s="72" t="n"/>
      <c r="R90" s="69">
        <f>IF(COUNTA(G90:I90,M90)&lt;4,"",Settings!$C$5*(G90="Yes")+Settings!$C$6*(H90="Yes")+Settings!$C$7*(I90="Yes")+Settings!$C$8*(M90="No"))</f>
        <v/>
      </c>
      <c r="S90" s="69">
        <f>IF(R90="","",IF(R90&gt;=Settings!$C$13,"สูง",IF(R90&gt;=Settings!$C$12,"ปานกลาง","ต่ำ")))</f>
        <v/>
      </c>
      <c r="T90" s="70">
        <f>IF(OR(S90="",P90=""),"",IF(AND(S90="สูง",P90="ตัด D2"),"⚠ เสี่ยงสูงแต่เสนอตัด D2 — ควรทบทวน",IF(AND(S90="ต่ำ",P90="คง D2"),"ℹ เสี่ยงต่ำแต่เสนอคง D2 — อาจควบคุมเกินจำเป็น",IF(AND(P90="เปลี่ยนเป็นหน่วยงานผู้เชี่ยวชาญ",M90="No"),"⚠ เสนอโอน แต่ตอบว่ายังไม่มีผู้เชี่ยวชาญตรวจ",IF(AND(P90="เปลี่ยนเป็นหน่วยงานผู้เชี่ยวชาญ",Q90=""),"⚠ ยังไม่ระบุหน่วยงานผู้เชี่ยวชาญ","")))))</f>
        <v/>
      </c>
      <c r="U90" s="69">
        <f>IF(AND(P90="ตัด D2",ISNUMBER(D90),ISNUMBER(F90)),D90*F90,"")</f>
        <v/>
      </c>
      <c r="V90" s="73" t="n"/>
      <c r="W90" s="70">
        <f>IF(C90="","",IF(AND(ISNUMBER(D90),D90=0),"✔ ไม่เคยทำ (ข้าม)",IF(COUNTA(D90:P90)=0,"○ ยังไม่เริ่ม",IF(IF(D90="","จำนวน/ปี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","")="","✔ ครบ","⏳ ขาด: "&amp;TRIM(IF(D90="","จำนวน/ปี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",""))))))</f>
        <v/>
      </c>
    </row>
    <row r="91">
      <c r="A91" s="72" t="n"/>
      <c r="B91" s="73" t="n"/>
      <c r="C91" s="73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69">
        <f>IF(COUNTA(G91:I91,M91)&lt;4,"",Settings!$C$5*(G91="Yes")+Settings!$C$6*(H91="Yes")+Settings!$C$7*(I91="Yes")+Settings!$C$8*(M91="No"))</f>
        <v/>
      </c>
      <c r="S91" s="69">
        <f>IF(R91="","",IF(R91&gt;=Settings!$C$13,"สูง",IF(R91&gt;=Settings!$C$12,"ปานกลาง","ต่ำ")))</f>
        <v/>
      </c>
      <c r="T91" s="70">
        <f>IF(OR(S91="",P91=""),"",IF(AND(S91="สูง",P91="ตัด D2"),"⚠ เสี่ยงสูงแต่เสนอตัด D2 — ควรทบทวน",IF(AND(S91="ต่ำ",P91="คง D2"),"ℹ เสี่ยงต่ำแต่เสนอคง D2 — อาจควบคุมเกินจำเป็น",IF(AND(P91="เปลี่ยนเป็นหน่วยงานผู้เชี่ยวชาญ",M91="No"),"⚠ เสนอโอน แต่ตอบว่ายังไม่มีผู้เชี่ยวชาญตรวจ",IF(AND(P91="เปลี่ยนเป็นหน่วยงานผู้เชี่ยวชาญ",Q91=""),"⚠ ยังไม่ระบุหน่วยงานผู้เชี่ยวชาญ","")))))</f>
        <v/>
      </c>
      <c r="U91" s="69">
        <f>IF(AND(P91="ตัด D2",ISNUMBER(D91),ISNUMBER(F91)),D91*F91,"")</f>
        <v/>
      </c>
      <c r="V91" s="73" t="n"/>
      <c r="W91" s="70">
        <f>IF(C91="","",IF(AND(ISNUMBER(D91),D91=0),"✔ ไม่เคยทำ (ข้าม)",IF(COUNTA(D91:P91)=0,"○ ยังไม่เริ่ม",IF(IF(D91="","จำนวน/ปี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","")="","✔ ครบ","⏳ ขาด: "&amp;TRIM(IF(D91="","จำนวน/ปี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",""))))))</f>
        <v/>
      </c>
    </row>
  </sheetData>
  <mergeCells count="12">
    <mergeCell ref="P4:Q4"/>
    <mergeCell ref="C2:H2"/>
    <mergeCell ref="R4:U4"/>
    <mergeCell ref="W4"/>
    <mergeCell ref="V4"/>
    <mergeCell ref="D4:F4"/>
    <mergeCell ref="M4:O4"/>
    <mergeCell ref="A3:W3"/>
    <mergeCell ref="G4:L4"/>
    <mergeCell ref="A4:C4"/>
    <mergeCell ref="J2:P2"/>
    <mergeCell ref="A6:B6"/>
  </mergeCells>
  <conditionalFormatting sqref="S7:S91">
    <cfRule type="cellIs" priority="1" operator="equal" dxfId="5">
      <formula>"สูง"</formula>
    </cfRule>
    <cfRule type="cellIs" priority="2" operator="equal" dxfId="6">
      <formula>"ปานกลาง"</formula>
    </cfRule>
    <cfRule type="cellIs" priority="3" operator="equal" dxfId="7">
      <formula>"ต่ำ"</formula>
    </cfRule>
  </conditionalFormatting>
  <conditionalFormatting sqref="T7:T91">
    <cfRule type="expression" priority="4" dxfId="8">
      <formula>LEFT(T7,1)="⚠"</formula>
    </cfRule>
    <cfRule type="expression" priority="5" dxfId="9">
      <formula>LEFT(T7,1)="ℹ"</formula>
    </cfRule>
  </conditionalFormatting>
  <conditionalFormatting sqref="Q7:Q91">
    <cfRule type="expression" priority="6" dxfId="10">
      <formula>AND($P7="เปลี่ยนเป็นหน่วยงานผู้เชี่ยวชาญ",$Q7="")</formula>
    </cfRule>
    <cfRule type="expression" priority="7" dxfId="11">
      <formula>$P7&lt;&gt;"เปลี่ยนเป็นหน่วยงานผู้เชี่ยวชาญ"</formula>
    </cfRule>
  </conditionalFormatting>
  <conditionalFormatting sqref="A7:A91">
    <cfRule type="expression" priority="8" dxfId="12">
      <formula>LEFT($W7,1)="✔"</formula>
    </cfRule>
    <cfRule type="expression" priority="9" dxfId="3">
      <formula>LEFT($W7,1)="⏳"</formula>
    </cfRule>
  </conditionalFormatting>
  <conditionalFormatting sqref="W7:W91">
    <cfRule type="expression" priority="10" dxfId="13">
      <formula>LEFT($W7,1)="✔"</formula>
    </cfRule>
    <cfRule type="expression" priority="11" dxfId="14">
      <formula>LEFT($W7,1)="⏳"</formula>
    </cfRule>
  </conditionalFormatting>
  <conditionalFormatting sqref="D7:P91">
    <cfRule type="expression" priority="12" dxfId="0">
      <formula>AND($C7&lt;&gt;"",COUNTA($D7:$P7)&gt;0,D7="",NOT(AND(ISNUMBER($D7),$D7=0)))</formula>
    </cfRule>
  </conditionalFormatting>
  <conditionalFormatting sqref="A7:V91">
    <cfRule type="expression" priority="13" dxfId="15">
      <formula>AND($C7&lt;&gt;"",$D7=0,ISNUMBER($D7))</formula>
    </cfRule>
  </conditionalFormatting>
  <dataValidations count="14">
    <dataValidation sqref="D7:D91" showDropDown="0" showInputMessage="1" showErrorMessage="1" allowBlank="1" errorTitle="ตัวเลขเท่านั้น" error="กรุณากรอกตัวเลขตั้งแต่ 0 ขึ้นไป" promptTitle="จำนวนรายการต่อปี" prompt="จำนวนเรื่องที่เสนอขออนุมัติต่อปี&#10;ถ้างานท่านไม่เคยทำกระบวนการนี้ ใส่ 0" type="decimal" operator="greaterThanOrEqual">
      <formula1>0</formula1>
    </dataValidation>
    <dataValidation sqref="E7:E91" showDropDown="0" showInputMessage="1" showErrorMessage="1" allowBlank="1" errorTitle="ตัวเลขเท่านั้น" error="กรุณากรอกตัวเลขตั้งแต่ 0 ขึ้นไป" promptTitle="ระยะเวลาเฉลี่ย (วัน)" prompt="ตั้งแต่เริ่มเสนอเรื่องจนได้รับอนุมัติ ครบทุกขั้นตอน (วันทำการ)" type="decimal" operator="greaterThanOrEqual">
      <formula1>0</formula1>
    </dataValidation>
    <dataValidation sqref="F7:F91" showDropDown="0" showInputMessage="1" showErrorMessage="1" allowBlank="1" errorTitle="ตัวเลขเท่านั้น" error="กรุณากรอกตัวเลขตั้งแต่ 0 ขึ้นไป" promptTitle="ระยะเวลาที่ D2 ใช้ (วัน)" prompt="เรื่องค้างอยู่ที่เลขานุการคณะ (D2) โดยเฉลี่ยกี่วัน&#10;ใช้คำนวณวันที่ประหยัดได้ถ้าตัด D2" type="decimal" operator="greaterThanOrEqual">
      <formula1>0</formula1>
    </dataValidation>
    <dataValidation sqref="G7:G91" showDropDown="0" showInputMessage="1" showErrorMessage="1" allowBlank="1" errorTitle="เลือกจากรายการ" error="กรุณาเลือกค่าจาก Dropdown" promptTitle="ผลกระทบด้านงบประมาณ" prompt="กระบวนการนี้มีผลกระทบต่องบประมาณหรือไม่&#10;Yes = มี  /  No = ไม่มี" type="list">
      <formula1>=Settings!$E$5:$E$6</formula1>
    </dataValidation>
    <dataValidation sqref="H7:H91" showDropDown="0" showInputMessage="1" showErrorMessage="1" allowBlank="1" errorTitle="เลือกจากรายการ" error="กรุณาเลือกค่าจาก Dropdown" promptTitle="ผลกระทบด้านอัตรากำลัง" prompt="กระบวนการนี้มีผลกระทบต่ออัตรากำลังหรือไม่&#10;Yes = มี  /  No = ไม่มี" type="list">
      <formula1>=Settings!$E$5:$E$6</formula1>
    </dataValidation>
    <dataValidation sqref="I7:I91" showDropDown="0" showInputMessage="1" showErrorMessage="1" allowBlank="1" errorTitle="เลือกจากรายการ" error="กรุณาเลือกค่าจาก Dropdown" promptTitle="ผลกระทบด้านกฎหมาย/ระเบียบ" prompt="กระบวนการนี้มีผลกระทบต่อกฎหมาย/ระเบียบหรือไม่&#10;Yes = มี  /  No = ไม่มี" type="list">
      <formula1>=Settings!$E$5:$E$6</formula1>
    </dataValidation>
    <dataValidation sqref="J7:J91" showDropDown="0" showInputMessage="1" showErrorMessage="1" allowBlank="1" errorTitle="เลือกจากรายการ" error="กรุณาเลือกค่าจาก Dropdown" promptTitle="ผลกระทบด้านทรัพย์สิน/พัสดุ" prompt="กระบวนการนี้มีผลกระทบต่อทรัพย์สิน/พัสดุหรือไม่&#10;Yes = มี  /  No = ไม่มี" type="list">
      <formula1>=Settings!$E$5:$E$6</formula1>
    </dataValidation>
    <dataValidation sqref="K7:K91" showDropDown="0" showInputMessage="1" showErrorMessage="1" allowBlank="1" errorTitle="เลือกจากรายการ" error="กรุณาเลือกค่าจาก Dropdown" promptTitle="ผลกระทบด้านชื่อเสียงองค์กร" prompt="กระบวนการนี้มีผลกระทบต่อชื่อเสียงองค์กรหรือไม่&#10;Yes = มี  /  No = ไม่มี" type="list">
      <formula1>=Settings!$E$5:$E$6</formula1>
    </dataValidation>
    <dataValidation sqref="L7:L91" showDropDown="0" showInputMessage="1" showErrorMessage="1" allowBlank="1" errorTitle="เลือกจากรายการ" error="กรุณาเลือกค่าจาก Dropdown" promptTitle="ผลกระทบด้านนโยบายหรือยุทธศาสตร์คณะ" prompt="กระบวนการนี้มีผลกระทบต่อนโยบายหรือยุทธศาสตร์คณะหรือไม่&#10;Yes = มี  /  No = ไม่มี" type="list">
      <formula1>=Settings!$E$5:$E$6</formula1>
    </dataValidation>
    <dataValidation sqref="M7:M91" showDropDown="0" showInputMessage="1" showErrorMessage="1" allowBlank="1" errorTitle="เลือกจากรายการ" error="กรุณาเลือกค่าจาก Dropdown" promptTitle="มีผู้เชี่ยวชาญตรวจอยู่แล้วหรือไม่" prompt="มีหน่วยงานเฉพาะทาง (การเงิน พัสดุ บุคคล นิติการ ฯลฯ) ตรวจสอบกระบวนการนี้อยู่แล้วหรือไม่&#10;Yes = มี  /  No = ไม่มี" type="list">
      <formula1>=Settings!$E$5:$E$6</formula1>
    </dataValidation>
    <dataValidation sqref="N7:N91" showDropDown="0" showInputMessage="1" showErrorMessage="1" allowBlank="1" errorTitle="เลือกจากรายการ" error="กรุณาเลือกค่าจาก Dropdown" promptTitle="D2 เพิ่มคุณค่าระดับใด" prompt="เลขานุการคณะ (D2) ช่วยเพิ่มคุณค่าหรือควบคุมความเสี่ยงในกระบวนการนี้มากน้อยเพียงใด" type="list">
      <formula1>=Settings!$F$5:$F$8</formula1>
    </dataValidation>
    <dataValidation sqref="O7:O91" showDropDown="0" showInputMessage="1" showErrorMessage="1" allowBlank="1" errorTitle="เลือกจากรายการ" error="กรุณาเลือกค่าจาก Dropdown" promptTitle="D2 เคยตีกลับหรือไม่" prompt="D2 เคยตรวจพบข้อผิดพลาดและตีกลับเรื่องนี้บ่อยเพียงใด" type="list">
      <formula1>=Settings!$G$5:$G$8</formula1>
    </dataValidation>
    <dataValidation sqref="P7:P91" showDropDown="0" showInputMessage="1" showErrorMessage="1" allowBlank="1" errorTitle="เลือกจากรายการ" error="กรุณาเลือกค่าจาก Dropdown" promptTitle="ข้อเสนอของท่าน" prompt="คง D2 / ตัด D2 / เปลี่ยนเป็นหน่วยงานผู้เชี่ยวชาญ / ขอหารือเพิ่มเติม" type="list">
      <formula1>=Settings!$H$5:$H$8</formula1>
    </dataValidation>
    <dataValidation sqref="Q7:Q91" showDropDown="0" showInputMessage="1" showErrorMessage="1" allowBlank="1" errorTitle="เลือกจากรายการ" error="กรุณาเลือกค่าจาก Dropdown" promptTitle="หน่วยงานผู้เชี่ยวชาญ" prompt="เลือกเฉพาะเมื่อข้อเสนอคือ 'เปลี่ยนเป็นหน่วยงานผู้เชี่ยวชาญ'" type="list">
      <formula1>=Settings!$I$5:$I$11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9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5" customWidth="1" min="13" max="13"/>
    <col width="13" customWidth="1" min="14" max="14"/>
    <col width="15" customWidth="1" min="15" max="15"/>
    <col width="24" customWidth="1" min="16" max="16"/>
    <col width="20" customWidth="1" min="17" max="17"/>
    <col width="10" customWidth="1" min="18" max="18"/>
    <col width="11" customWidth="1" min="19" max="19"/>
    <col width="34" customWidth="1" min="20" max="20"/>
    <col width="17" customWidth="1" min="21" max="21"/>
    <col width="44" customWidth="1" min="22" max="22"/>
    <col width="34" customWidth="1" min="23" max="23"/>
  </cols>
  <sheetData>
    <row r="1">
      <c r="A1" s="50" t="inlineStr">
        <is>
          <t>แบบสำรวจการปรับปรุง Approval Matrix (Risk-Based Approval)</t>
        </is>
      </c>
    </row>
    <row r="2" ht="24" customHeight="1">
      <c r="A2" s="51" t="inlineStr">
        <is>
          <t>หน่วยงาน:</t>
        </is>
      </c>
      <c r="C2" s="52" t="inlineStr">
        <is>
          <t>งานบริการการศึกษาและพัฒนาคุณภาพนักศึกษา</t>
        </is>
      </c>
      <c r="J2" s="53">
        <f>"กรอกครบแล้ว "&amp;COUNTIF(W7:W91,"✔*")&amp;" / "&amp;COUNTIF(C7:C91,"?*")&amp;" กระบวนการ  ("&amp;TEXT(COUNTIF(W7:W91,"✔*")/MAX(1,COUNTIF(C7:C91,"?*")),"0%")&amp;")"</f>
        <v/>
      </c>
    </row>
    <row r="3">
      <c r="A3" s="54" t="inlineStr">
        <is>
          <t>วิธีกรอก: ทำตามลำดับ ①→④ จากซ้ายไปขวา เฉพาะช่องสีเหลือง  |  คลิกช่องใดก็ได้เพื่อดูคำอธิบาย  |  ช่องลำดับ: 🟩 ครบ  🟧 ยังขาด (ดูช่อง 'สถานะการกรอก')  |  กระบวนการที่ไม่เคยทำ ใส่จำนวนรายการ = 0 ได้เลย</t>
        </is>
      </c>
    </row>
    <row r="4">
      <c r="A4" s="4" t="inlineStr">
        <is>
          <t>กระบวนการ</t>
        </is>
      </c>
      <c r="B4" s="55" t="n"/>
      <c r="C4" s="55" t="n"/>
      <c r="D4" s="56" t="inlineStr">
        <is>
          <t>① ข้อมูลพื้นฐาน</t>
        </is>
      </c>
      <c r="E4" s="57" t="n"/>
      <c r="F4" s="57" t="n"/>
      <c r="G4" s="58" t="inlineStr">
        <is>
          <t>② ผลกระทบ — กระบวนการนี้มีผลกระทบต่อ… (Yes/No)</t>
        </is>
      </c>
      <c r="H4" s="59" t="n"/>
      <c r="I4" s="59" t="n"/>
      <c r="J4" s="59" t="n"/>
      <c r="K4" s="59" t="n"/>
      <c r="L4" s="59" t="n"/>
      <c r="M4" s="60" t="inlineStr">
        <is>
          <t>③ การประเมินการควบคุม</t>
        </is>
      </c>
      <c r="N4" s="61" t="n"/>
      <c r="O4" s="61" t="n"/>
      <c r="P4" s="62" t="inlineStr">
        <is>
          <t>④ ข้อเสนอของหัวหน้างาน</t>
        </is>
      </c>
      <c r="Q4" s="63" t="n"/>
      <c r="R4" s="64" t="inlineStr">
        <is>
          <t>คำนวณอัตโนมัติ (ห้ามกรอก)</t>
        </is>
      </c>
      <c r="S4" s="65" t="n"/>
      <c r="T4" s="65" t="n"/>
      <c r="U4" s="65" t="n"/>
      <c r="V4" s="56" t="inlineStr">
        <is>
          <t>เพิ่มเติม (ถ้ามี)</t>
        </is>
      </c>
      <c r="W4" s="64" t="inlineStr">
        <is>
          <t>ตรวจสอบ</t>
        </is>
      </c>
    </row>
    <row r="5" ht="48" customHeight="1">
      <c r="A5" s="15" t="inlineStr">
        <is>
          <t>ลำดับ</t>
        </is>
      </c>
      <c r="B5" s="15" t="inlineStr">
        <is>
          <t>กลุ่มงาน</t>
        </is>
      </c>
      <c r="C5" s="15" t="inlineStr">
        <is>
          <t>ชื่อกระบวนการ</t>
        </is>
      </c>
      <c r="D5" s="15" t="inlineStr">
        <is>
          <t>จำนวนรายการ
ต่อปี</t>
        </is>
      </c>
      <c r="E5" s="15" t="inlineStr">
        <is>
          <t>ระยะเวลาดำเนินการ
เฉลี่ย (วัน)</t>
        </is>
      </c>
      <c r="F5" s="15" t="inlineStr">
        <is>
          <t>ระยะเวลาที่ D2
ใช้ (วัน)</t>
        </is>
      </c>
      <c r="G5" s="15" t="inlineStr">
        <is>
          <t>งบประมาณ</t>
        </is>
      </c>
      <c r="H5" s="15" t="inlineStr">
        <is>
          <t>อัตรากำลัง</t>
        </is>
      </c>
      <c r="I5" s="15" t="inlineStr">
        <is>
          <t>กฎหมาย/
ระเบียบ</t>
        </is>
      </c>
      <c r="J5" s="15" t="inlineStr">
        <is>
          <t>ทรัพย์สิน/
พัสดุ</t>
        </is>
      </c>
      <c r="K5" s="15" t="inlineStr">
        <is>
          <t>ชื่อเสียง
องค์กร</t>
        </is>
      </c>
      <c r="L5" s="15" t="inlineStr">
        <is>
          <t>นโยบาย/
ยุทธศาสตร์คณะ</t>
        </is>
      </c>
      <c r="M5" s="15" t="inlineStr">
        <is>
          <t>มีหน่วยงาน
ผู้เชี่ยวชาญตรวจ
อยู่แล้วหรือไม่</t>
        </is>
      </c>
      <c r="N5" s="15" t="inlineStr">
        <is>
          <t>D2 เพิ่มคุณค่า
ในระดับใด</t>
        </is>
      </c>
      <c r="O5" s="15" t="inlineStr">
        <is>
          <t>D2 เคยตรวจพบ
ข้อผิดพลาด (ตีกลับ)</t>
        </is>
      </c>
      <c r="P5" s="15" t="inlineStr">
        <is>
          <t>ข้อเสนอ
ของหัวหน้างาน</t>
        </is>
      </c>
      <c r="Q5" s="15" t="inlineStr">
        <is>
          <t>หน่วยงานผู้เชี่ยวชาญ
(กรณีเลือกเปลี่ยน)</t>
        </is>
      </c>
      <c r="R5" s="15" t="inlineStr">
        <is>
          <t>คะแนน
ความเสี่ยง</t>
        </is>
      </c>
      <c r="S5" s="15" t="inlineStr">
        <is>
          <t>ระดับ
ความเสี่ยง</t>
        </is>
      </c>
      <c r="T5" s="15" t="inlineStr">
        <is>
          <t>ธงเตือน</t>
        </is>
      </c>
      <c r="U5" s="15" t="inlineStr">
        <is>
          <t>วันทำการที่ประหยัดได้
ต่อปี (ถ้าตัด D2)</t>
        </is>
      </c>
      <c r="V5" s="15" t="inlineStr">
        <is>
          <t>ข้อเสนอแนะ / แนวทางปรับปรุง Workflow</t>
        </is>
      </c>
      <c r="W5" s="15" t="inlineStr">
        <is>
          <t>สถานะการกรอก</t>
        </is>
      </c>
    </row>
    <row r="6" ht="30" customHeight="1">
      <c r="A6" s="66" t="inlineStr">
        <is>
          <t>▶ คำใบ้</t>
        </is>
      </c>
      <c r="B6" s="67" t="n"/>
      <c r="C6" s="68" t="inlineStr">
        <is>
          <t>ชื่อกระบวนการ (แก้ไข/เพิ่มได้)</t>
        </is>
      </c>
      <c r="D6" s="68" t="inlineStr">
        <is>
          <t>ตัวเลข
เช่น 120</t>
        </is>
      </c>
      <c r="E6" s="68" t="inlineStr">
        <is>
          <t>ตัวเลข (วัน)
เช่น 7</t>
        </is>
      </c>
      <c r="F6" s="68" t="inlineStr">
        <is>
          <t>ตัวเลข (วัน)
เช่น 2</t>
        </is>
      </c>
      <c r="G6" s="68" t="inlineStr">
        <is>
          <t>Yes = มีผลกระทบ
No = ไม่มี</t>
        </is>
      </c>
      <c r="H6" s="68" t="inlineStr">
        <is>
          <t>Yes = มีผลกระทบ
No = ไม่มี</t>
        </is>
      </c>
      <c r="I6" s="68" t="inlineStr">
        <is>
          <t>Yes = มีผลกระทบ
No = ไม่มี</t>
        </is>
      </c>
      <c r="J6" s="68" t="inlineStr">
        <is>
          <t>Yes = มีผลกระทบ
No = ไม่มี</t>
        </is>
      </c>
      <c r="K6" s="68" t="inlineStr">
        <is>
          <t>Yes = มีผลกระทบ
No = ไม่มี</t>
        </is>
      </c>
      <c r="L6" s="68" t="inlineStr">
        <is>
          <t>Yes = มีผลกระทบ
No = ไม่มี</t>
        </is>
      </c>
      <c r="M6" s="68" t="inlineStr">
        <is>
          <t>Yes / No</t>
        </is>
      </c>
      <c r="N6" s="68" t="inlineStr">
        <is>
          <t>เลือกจากรายการ</t>
        </is>
      </c>
      <c r="O6" s="68" t="inlineStr">
        <is>
          <t>เลือกจากรายการ</t>
        </is>
      </c>
      <c r="P6" s="68" t="inlineStr">
        <is>
          <t>เลือกจากรายการ</t>
        </is>
      </c>
      <c r="Q6" s="68" t="inlineStr">
        <is>
          <t>เลือกเมื่อ 'เปลี่ยน…'</t>
        </is>
      </c>
      <c r="R6" s="68" t="inlineStr">
        <is>
          <t>อัตโนมัติ</t>
        </is>
      </c>
      <c r="S6" s="68" t="inlineStr">
        <is>
          <t>อัตโนมัติ</t>
        </is>
      </c>
      <c r="T6" s="68" t="inlineStr">
        <is>
          <t>อัตโนมัติ</t>
        </is>
      </c>
      <c r="U6" s="68" t="inlineStr">
        <is>
          <t>อัตโนมัติ</t>
        </is>
      </c>
      <c r="V6" s="68" t="inlineStr">
        <is>
          <t>พิมพ์ข้อความ (ถ้ามี)</t>
        </is>
      </c>
      <c r="W6" s="68" t="inlineStr">
        <is>
          <t>อัตโนมัติ</t>
        </is>
      </c>
    </row>
    <row r="7">
      <c r="A7" s="69" t="n">
        <v>1</v>
      </c>
      <c r="B7" s="70" t="inlineStr">
        <is>
          <t>การเงินและพัสดุ</t>
        </is>
      </c>
      <c r="C7" s="71" t="inlineStr">
        <is>
          <t>ขออนุมัติ เบิกจ่ายตามงบ</t>
        </is>
      </c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69">
        <f>IF(COUNTA(G7:I7,M7)&lt;4,"",Settings!$C$5*(G7="Yes")+Settings!$C$6*(H7="Yes")+Settings!$C$7*(I7="Yes")+Settings!$C$8*(M7="No"))</f>
        <v/>
      </c>
      <c r="S7" s="69">
        <f>IF(R7="","",IF(R7&gt;=Settings!$C$13,"สูง",IF(R7&gt;=Settings!$C$12,"ปานกลาง","ต่ำ")))</f>
        <v/>
      </c>
      <c r="T7" s="70">
        <f>IF(OR(S7="",P7=""),"",IF(AND(S7="สูง",P7="ตัด D2"),"⚠ เสี่ยงสูงแต่เสนอตัด D2 — ควรทบทวน",IF(AND(S7="ต่ำ",P7="คง D2"),"ℹ เสี่ยงต่ำแต่เสนอคง D2 — อาจควบคุมเกินจำเป็น",IF(AND(P7="เปลี่ยนเป็นหน่วยงานผู้เชี่ยวชาญ",M7="No"),"⚠ เสนอโอน แต่ตอบว่ายังไม่มีผู้เชี่ยวชาญตรวจ",IF(AND(P7="เปลี่ยนเป็นหน่วยงานผู้เชี่ยวชาญ",Q7=""),"⚠ ยังไม่ระบุหน่วยงานผู้เชี่ยวชาญ","")))))</f>
        <v/>
      </c>
      <c r="U7" s="69">
        <f>IF(AND(P7="ตัด D2",ISNUMBER(D7),ISNUMBER(F7)),D7*F7,"")</f>
        <v/>
      </c>
      <c r="V7" s="73" t="n"/>
      <c r="W7" s="70">
        <f>IF(C7="","",IF(AND(ISNUMBER(D7),D7=0),"✔ ไม่เคยทำ (ข้าม)",IF(COUNTA(D7:P7)=0,"○ ยังไม่เริ่ม",IF(IF(D7="","จำนวน/ปี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","")="","✔ ครบ","⏳ ขาด: "&amp;TRIM(IF(D7="","จำนวน/ปี ","")&amp;IF(E7="","ระยะเวลา ","")&amp;IF(F7="","D2ใช้(วัน) ","")&amp;IF(G7="","งบ ","")&amp;IF(H7="","อัตรากำลัง ","")&amp;IF(I7="","กฎหมาย ","")&amp;IF(J7="","ทรัพย์สิน ","")&amp;IF(K7="","ชื่อเสียง ","")&amp;IF(L7="","นโยบาย ","")&amp;IF(M7="","ผู้เชี่ยวชาญตรวจ ","")&amp;IF(N7="","D2เพิ่มคุณค่า ","")&amp;IF(O7="","D2ตีกลับ ","")&amp;IF(P7="","ข้อเสนอ ","")&amp;IF(AND(P7="เปลี่ยนเป็นหน่วยงานผู้เชี่ยวชาญ",Q7=""),"หน่วยงานผู้เชี่ยวชาญ ",""))))))</f>
        <v/>
      </c>
    </row>
    <row r="8">
      <c r="A8" s="69" t="n">
        <v>2</v>
      </c>
      <c r="B8" s="70" t="inlineStr">
        <is>
          <t>การเงินและพัสดุ</t>
        </is>
      </c>
      <c r="C8" s="71" t="inlineStr">
        <is>
          <t>ยืมเงินทดรองจ่าย</t>
        </is>
      </c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69">
        <f>IF(COUNTA(G8:I8,M8)&lt;4,"",Settings!$C$5*(G8="Yes")+Settings!$C$6*(H8="Yes")+Settings!$C$7*(I8="Yes")+Settings!$C$8*(M8="No"))</f>
        <v/>
      </c>
      <c r="S8" s="69">
        <f>IF(R8="","",IF(R8&gt;=Settings!$C$13,"สูง",IF(R8&gt;=Settings!$C$12,"ปานกลาง","ต่ำ")))</f>
        <v/>
      </c>
      <c r="T8" s="70">
        <f>IF(OR(S8="",P8=""),"",IF(AND(S8="สูง",P8="ตัด D2"),"⚠ เสี่ยงสูงแต่เสนอตัด D2 — ควรทบทวน",IF(AND(S8="ต่ำ",P8="คง D2"),"ℹ เสี่ยงต่ำแต่เสนอคง D2 — อาจควบคุมเกินจำเป็น",IF(AND(P8="เปลี่ยนเป็นหน่วยงานผู้เชี่ยวชาญ",M8="No"),"⚠ เสนอโอน แต่ตอบว่ายังไม่มีผู้เชี่ยวชาญตรวจ",IF(AND(P8="เปลี่ยนเป็นหน่วยงานผู้เชี่ยวชาญ",Q8=""),"⚠ ยังไม่ระบุหน่วยงานผู้เชี่ยวชาญ","")))))</f>
        <v/>
      </c>
      <c r="U8" s="69">
        <f>IF(AND(P8="ตัด D2",ISNUMBER(D8),ISNUMBER(F8)),D8*F8,"")</f>
        <v/>
      </c>
      <c r="V8" s="73" t="n"/>
      <c r="W8" s="70">
        <f>IF(C8="","",IF(AND(ISNUMBER(D8),D8=0),"✔ ไม่เคยทำ (ข้าม)",IF(COUNTA(D8:P8)=0,"○ ยังไม่เริ่ม",IF(IF(D8="","จำนวน/ปี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","")="","✔ ครบ","⏳ ขาด: "&amp;TRIM(IF(D8="","จำนวน/ปี ","")&amp;IF(E8="","ระยะเวลา ","")&amp;IF(F8="","D2ใช้(วัน) ","")&amp;IF(G8="","งบ ","")&amp;IF(H8="","อัตรากำลัง ","")&amp;IF(I8="","กฎหมาย ","")&amp;IF(J8="","ทรัพย์สิน ","")&amp;IF(K8="","ชื่อเสียง ","")&amp;IF(L8="","นโยบาย ","")&amp;IF(M8="","ผู้เชี่ยวชาญตรวจ ","")&amp;IF(N8="","D2เพิ่มคุณค่า ","")&amp;IF(O8="","D2ตีกลับ ","")&amp;IF(P8="","ข้อเสนอ ","")&amp;IF(AND(P8="เปลี่ยนเป็นหน่วยงานผู้เชี่ยวชาญ",Q8=""),"หน่วยงานผู้เชี่ยวชาญ ",""))))))</f>
        <v/>
      </c>
    </row>
    <row r="9">
      <c r="A9" s="69" t="n">
        <v>3</v>
      </c>
      <c r="B9" s="70" t="inlineStr">
        <is>
          <t>การเงินและพัสดุ</t>
        </is>
      </c>
      <c r="C9" s="71" t="inlineStr">
        <is>
          <t>ขอซื้อวัสดุสำนักงานตามแผน</t>
        </is>
      </c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69">
        <f>IF(COUNTA(G9:I9,M9)&lt;4,"",Settings!$C$5*(G9="Yes")+Settings!$C$6*(H9="Yes")+Settings!$C$7*(I9="Yes")+Settings!$C$8*(M9="No"))</f>
        <v/>
      </c>
      <c r="S9" s="69">
        <f>IF(R9="","",IF(R9&gt;=Settings!$C$13,"สูง",IF(R9&gt;=Settings!$C$12,"ปานกลาง","ต่ำ")))</f>
        <v/>
      </c>
      <c r="T9" s="70">
        <f>IF(OR(S9="",P9=""),"",IF(AND(S9="สูง",P9="ตัด D2"),"⚠ เสี่ยงสูงแต่เสนอตัด D2 — ควรทบทวน",IF(AND(S9="ต่ำ",P9="คง D2"),"ℹ เสี่ยงต่ำแต่เสนอคง D2 — อาจควบคุมเกินจำเป็น",IF(AND(P9="เปลี่ยนเป็นหน่วยงานผู้เชี่ยวชาญ",M9="No"),"⚠ เสนอโอน แต่ตอบว่ายังไม่มีผู้เชี่ยวชาญตรวจ",IF(AND(P9="เปลี่ยนเป็นหน่วยงานผู้เชี่ยวชาญ",Q9=""),"⚠ ยังไม่ระบุหน่วยงานผู้เชี่ยวชาญ","")))))</f>
        <v/>
      </c>
      <c r="U9" s="69">
        <f>IF(AND(P9="ตัด D2",ISNUMBER(D9),ISNUMBER(F9)),D9*F9,"")</f>
        <v/>
      </c>
      <c r="V9" s="73" t="n"/>
      <c r="W9" s="70">
        <f>IF(C9="","",IF(AND(ISNUMBER(D9),D9=0),"✔ ไม่เคยทำ (ข้าม)",IF(COUNTA(D9:P9)=0,"○ ยังไม่เริ่ม",IF(IF(D9="","จำนวน/ปี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","")="","✔ ครบ","⏳ ขาด: "&amp;TRIM(IF(D9="","จำนวน/ปี ","")&amp;IF(E9="","ระยะเวลา ","")&amp;IF(F9="","D2ใช้(วัน) ","")&amp;IF(G9="","งบ ","")&amp;IF(H9="","อัตรากำลัง ","")&amp;IF(I9="","กฎหมาย ","")&amp;IF(J9="","ทรัพย์สิน ","")&amp;IF(K9="","ชื่อเสียง ","")&amp;IF(L9="","นโยบาย ","")&amp;IF(M9="","ผู้เชี่ยวชาญตรวจ ","")&amp;IF(N9="","D2เพิ่มคุณค่า ","")&amp;IF(O9="","D2ตีกลับ ","")&amp;IF(P9="","ข้อเสนอ ","")&amp;IF(AND(P9="เปลี่ยนเป็นหน่วยงานผู้เชี่ยวชาญ",Q9=""),"หน่วยงานผู้เชี่ยวชาญ ",""))))))</f>
        <v/>
      </c>
    </row>
    <row r="10">
      <c r="A10" s="69" t="n">
        <v>4</v>
      </c>
      <c r="B10" s="70" t="inlineStr">
        <is>
          <t>การเงินและพัสดุ</t>
        </is>
      </c>
      <c r="C10" s="71" t="inlineStr">
        <is>
          <t>ขอซื้อวัสดุโครงการ</t>
        </is>
      </c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69">
        <f>IF(COUNTA(G10:I10,M10)&lt;4,"",Settings!$C$5*(G10="Yes")+Settings!$C$6*(H10="Yes")+Settings!$C$7*(I10="Yes")+Settings!$C$8*(M10="No"))</f>
        <v/>
      </c>
      <c r="S10" s="69">
        <f>IF(R10="","",IF(R10&gt;=Settings!$C$13,"สูง",IF(R10&gt;=Settings!$C$12,"ปานกลาง","ต่ำ")))</f>
        <v/>
      </c>
      <c r="T10" s="70">
        <f>IF(OR(S10="",P10=""),"",IF(AND(S10="สูง",P10="ตัด D2"),"⚠ เสี่ยงสูงแต่เสนอตัด D2 — ควรทบทวน",IF(AND(S10="ต่ำ",P10="คง D2"),"ℹ เสี่ยงต่ำแต่เสนอคง D2 — อาจควบคุมเกินจำเป็น",IF(AND(P10="เปลี่ยนเป็นหน่วยงานผู้เชี่ยวชาญ",M10="No"),"⚠ เสนอโอน แต่ตอบว่ายังไม่มีผู้เชี่ยวชาญตรวจ",IF(AND(P10="เปลี่ยนเป็นหน่วยงานผู้เชี่ยวชาญ",Q10=""),"⚠ ยังไม่ระบุหน่วยงานผู้เชี่ยวชาญ","")))))</f>
        <v/>
      </c>
      <c r="U10" s="69">
        <f>IF(AND(P10="ตัด D2",ISNUMBER(D10),ISNUMBER(F10)),D10*F10,"")</f>
        <v/>
      </c>
      <c r="V10" s="73" t="n"/>
      <c r="W10" s="70">
        <f>IF(C10="","",IF(AND(ISNUMBER(D10),D10=0),"✔ ไม่เคยทำ (ข้าม)",IF(COUNTA(D10:P10)=0,"○ ยังไม่เริ่ม",IF(IF(D10="","จำนวน/ปี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","")="","✔ ครบ","⏳ ขาด: "&amp;TRIM(IF(D10="","จำนวน/ปี ","")&amp;IF(E10="","ระยะเวลา ","")&amp;IF(F10="","D2ใช้(วัน) ","")&amp;IF(G10="","งบ ","")&amp;IF(H10="","อัตรากำลัง ","")&amp;IF(I10="","กฎหมาย ","")&amp;IF(J10="","ทรัพย์สิน ","")&amp;IF(K10="","ชื่อเสียง ","")&amp;IF(L10="","นโยบาย ","")&amp;IF(M10="","ผู้เชี่ยวชาญตรวจ ","")&amp;IF(N10="","D2เพิ่มคุณค่า ","")&amp;IF(O10="","D2ตีกลับ ","")&amp;IF(P10="","ข้อเสนอ ","")&amp;IF(AND(P10="เปลี่ยนเป็นหน่วยงานผู้เชี่ยวชาญ",Q10=""),"หน่วยงานผู้เชี่ยวชาญ ",""))))))</f>
        <v/>
      </c>
    </row>
    <row r="11">
      <c r="A11" s="69" t="n">
        <v>5</v>
      </c>
      <c r="B11" s="70" t="inlineStr">
        <is>
          <t>การเงินและพัสดุ</t>
        </is>
      </c>
      <c r="C11" s="71" t="inlineStr">
        <is>
          <t>ขอจ้างเหมาบริการทั่วไป</t>
        </is>
      </c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69">
        <f>IF(COUNTA(G11:I11,M11)&lt;4,"",Settings!$C$5*(G11="Yes")+Settings!$C$6*(H11="Yes")+Settings!$C$7*(I11="Yes")+Settings!$C$8*(M11="No"))</f>
        <v/>
      </c>
      <c r="S11" s="69">
        <f>IF(R11="","",IF(R11&gt;=Settings!$C$13,"สูง",IF(R11&gt;=Settings!$C$12,"ปานกลาง","ต่ำ")))</f>
        <v/>
      </c>
      <c r="T11" s="70">
        <f>IF(OR(S11="",P11=""),"",IF(AND(S11="สูง",P11="ตัด D2"),"⚠ เสี่ยงสูงแต่เสนอตัด D2 — ควรทบทวน",IF(AND(S11="ต่ำ",P11="คง D2"),"ℹ เสี่ยงต่ำแต่เสนอคง D2 — อาจควบคุมเกินจำเป็น",IF(AND(P11="เปลี่ยนเป็นหน่วยงานผู้เชี่ยวชาญ",M11="No"),"⚠ เสนอโอน แต่ตอบว่ายังไม่มีผู้เชี่ยวชาญตรวจ",IF(AND(P11="เปลี่ยนเป็นหน่วยงานผู้เชี่ยวชาญ",Q11=""),"⚠ ยังไม่ระบุหน่วยงานผู้เชี่ยวชาญ","")))))</f>
        <v/>
      </c>
      <c r="U11" s="69">
        <f>IF(AND(P11="ตัด D2",ISNUMBER(D11),ISNUMBER(F11)),D11*F11,"")</f>
        <v/>
      </c>
      <c r="V11" s="73" t="n"/>
      <c r="W11" s="70">
        <f>IF(C11="","",IF(AND(ISNUMBER(D11),D11=0),"✔ ไม่เคยทำ (ข้าม)",IF(COUNTA(D11:P11)=0,"○ ยังไม่เริ่ม",IF(IF(D11="","จำนวน/ปี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","")="","✔ ครบ","⏳ ขาด: "&amp;TRIM(IF(D11="","จำนวน/ปี ","")&amp;IF(E11="","ระยะเวลา ","")&amp;IF(F11="","D2ใช้(วัน) ","")&amp;IF(G11="","งบ ","")&amp;IF(H11="","อัตรากำลัง ","")&amp;IF(I11="","กฎหมาย ","")&amp;IF(J11="","ทรัพย์สิน ","")&amp;IF(K11="","ชื่อเสียง ","")&amp;IF(L11="","นโยบาย ","")&amp;IF(M11="","ผู้เชี่ยวชาญตรวจ ","")&amp;IF(N11="","D2เพิ่มคุณค่า ","")&amp;IF(O11="","D2ตีกลับ ","")&amp;IF(P11="","ข้อเสนอ ","")&amp;IF(AND(P11="เปลี่ยนเป็นหน่วยงานผู้เชี่ยวชาญ",Q11=""),"หน่วยงานผู้เชี่ยวชาญ ",""))))))</f>
        <v/>
      </c>
    </row>
    <row r="12">
      <c r="A12" s="69" t="n">
        <v>6</v>
      </c>
      <c r="B12" s="70" t="inlineStr">
        <is>
          <t>การเงินและพัสดุ</t>
        </is>
      </c>
      <c r="C12" s="71" t="inlineStr">
        <is>
          <t>จัดซื้อครุภัณฑ์ตามแผน</t>
        </is>
      </c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69">
        <f>IF(COUNTA(G12:I12,M12)&lt;4,"",Settings!$C$5*(G12="Yes")+Settings!$C$6*(H12="Yes")+Settings!$C$7*(I12="Yes")+Settings!$C$8*(M12="No"))</f>
        <v/>
      </c>
      <c r="S12" s="69">
        <f>IF(R12="","",IF(R12&gt;=Settings!$C$13,"สูง",IF(R12&gt;=Settings!$C$12,"ปานกลาง","ต่ำ")))</f>
        <v/>
      </c>
      <c r="T12" s="70">
        <f>IF(OR(S12="",P12=""),"",IF(AND(S12="สูง",P12="ตัด D2"),"⚠ เสี่ยงสูงแต่เสนอตัด D2 — ควรทบทวน",IF(AND(S12="ต่ำ",P12="คง D2"),"ℹ เสี่ยงต่ำแต่เสนอคง D2 — อาจควบคุมเกินจำเป็น",IF(AND(P12="เปลี่ยนเป็นหน่วยงานผู้เชี่ยวชาญ",M12="No"),"⚠ เสนอโอน แต่ตอบว่ายังไม่มีผู้เชี่ยวชาญตรวจ",IF(AND(P12="เปลี่ยนเป็นหน่วยงานผู้เชี่ยวชาญ",Q12=""),"⚠ ยังไม่ระบุหน่วยงานผู้เชี่ยวชาญ","")))))</f>
        <v/>
      </c>
      <c r="U12" s="69">
        <f>IF(AND(P12="ตัด D2",ISNUMBER(D12),ISNUMBER(F12)),D12*F12,"")</f>
        <v/>
      </c>
      <c r="V12" s="73" t="n"/>
      <c r="W12" s="70">
        <f>IF(C12="","",IF(AND(ISNUMBER(D12),D12=0),"✔ ไม่เคยทำ (ข้าม)",IF(COUNTA(D12:P12)=0,"○ ยังไม่เริ่ม",IF(IF(D12="","จำนวน/ปี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","")="","✔ ครบ","⏳ ขาด: "&amp;TRIM(IF(D12="","จำนวน/ปี ","")&amp;IF(E12="","ระยะเวลา ","")&amp;IF(F12="","D2ใช้(วัน) ","")&amp;IF(G12="","งบ ","")&amp;IF(H12="","อัตรากำลัง ","")&amp;IF(I12="","กฎหมาย ","")&amp;IF(J12="","ทรัพย์สิน ","")&amp;IF(K12="","ชื่อเสียง ","")&amp;IF(L12="","นโยบาย ","")&amp;IF(M12="","ผู้เชี่ยวชาญตรวจ ","")&amp;IF(N12="","D2เพิ่มคุณค่า ","")&amp;IF(O12="","D2ตีกลับ ","")&amp;IF(P12="","ข้อเสนอ ","")&amp;IF(AND(P12="เปลี่ยนเป็นหน่วยงานผู้เชี่ยวชาญ",Q12=""),"หน่วยงานผู้เชี่ยวชาญ ",""))))))</f>
        <v/>
      </c>
    </row>
    <row r="13">
      <c r="A13" s="69" t="n">
        <v>7</v>
      </c>
      <c r="B13" s="70" t="inlineStr">
        <is>
          <t>การเงินและพัสดุ</t>
        </is>
      </c>
      <c r="C13" s="71" t="inlineStr">
        <is>
          <t>จัดซื้อครุภัณฑ์นอกแผน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69">
        <f>IF(COUNTA(G13:I13,M13)&lt;4,"",Settings!$C$5*(G13="Yes")+Settings!$C$6*(H13="Yes")+Settings!$C$7*(I13="Yes")+Settings!$C$8*(M13="No"))</f>
        <v/>
      </c>
      <c r="S13" s="69">
        <f>IF(R13="","",IF(R13&gt;=Settings!$C$13,"สูง",IF(R13&gt;=Settings!$C$12,"ปานกลาง","ต่ำ")))</f>
        <v/>
      </c>
      <c r="T13" s="70">
        <f>IF(OR(S13="",P13=""),"",IF(AND(S13="สูง",P13="ตัด D2"),"⚠ เสี่ยงสูงแต่เสนอตัด D2 — ควรทบทวน",IF(AND(S13="ต่ำ",P13="คง D2"),"ℹ เสี่ยงต่ำแต่เสนอคง D2 — อาจควบคุมเกินจำเป็น",IF(AND(P13="เปลี่ยนเป็นหน่วยงานผู้เชี่ยวชาญ",M13="No"),"⚠ เสนอโอน แต่ตอบว่ายังไม่มีผู้เชี่ยวชาญตรวจ",IF(AND(P13="เปลี่ยนเป็นหน่วยงานผู้เชี่ยวชาญ",Q13=""),"⚠ ยังไม่ระบุหน่วยงานผู้เชี่ยวชาญ","")))))</f>
        <v/>
      </c>
      <c r="U13" s="69">
        <f>IF(AND(P13="ตัด D2",ISNUMBER(D13),ISNUMBER(F13)),D13*F13,"")</f>
        <v/>
      </c>
      <c r="V13" s="73" t="n"/>
      <c r="W13" s="70">
        <f>IF(C13="","",IF(AND(ISNUMBER(D13),D13=0),"✔ ไม่เคยทำ (ข้าม)",IF(COUNTA(D13:P13)=0,"○ ยังไม่เริ่ม",IF(IF(D13="","จำนวน/ปี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","")="","✔ ครบ","⏳ ขาด: "&amp;TRIM(IF(D13="","จำนวน/ปี ","")&amp;IF(E13="","ระยะเวลา ","")&amp;IF(F13="","D2ใช้(วัน) ","")&amp;IF(G13="","งบ ","")&amp;IF(H13="","อัตรากำลัง ","")&amp;IF(I13="","กฎหมาย ","")&amp;IF(J13="","ทรัพย์สิน ","")&amp;IF(K13="","ชื่อเสียง ","")&amp;IF(L13="","นโยบาย ","")&amp;IF(M13="","ผู้เชี่ยวชาญตรวจ ","")&amp;IF(N13="","D2เพิ่มคุณค่า ","")&amp;IF(O13="","D2ตีกลับ ","")&amp;IF(P13="","ข้อเสนอ ","")&amp;IF(AND(P13="เปลี่ยนเป็นหน่วยงานผู้เชี่ยวชาญ",Q13=""),"หน่วยงานผู้เชี่ยวชาญ ",""))))))</f>
        <v/>
      </c>
    </row>
    <row r="14">
      <c r="A14" s="69" t="n">
        <v>8</v>
      </c>
      <c r="B14" s="70" t="inlineStr">
        <is>
          <t>การเงินและพัสดุ</t>
        </is>
      </c>
      <c r="C14" s="71" t="inlineStr">
        <is>
          <t>ขออนุมัติ TOR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69">
        <f>IF(COUNTA(G14:I14,M14)&lt;4,"",Settings!$C$5*(G14="Yes")+Settings!$C$6*(H14="Yes")+Settings!$C$7*(I14="Yes")+Settings!$C$8*(M14="No"))</f>
        <v/>
      </c>
      <c r="S14" s="69">
        <f>IF(R14="","",IF(R14&gt;=Settings!$C$13,"สูง",IF(R14&gt;=Settings!$C$12,"ปานกลาง","ต่ำ")))</f>
        <v/>
      </c>
      <c r="T14" s="70">
        <f>IF(OR(S14="",P14=""),"",IF(AND(S14="สูง",P14="ตัด D2"),"⚠ เสี่ยงสูงแต่เสนอตัด D2 — ควรทบทวน",IF(AND(S14="ต่ำ",P14="คง D2"),"ℹ เสี่ยงต่ำแต่เสนอคง D2 — อาจควบคุมเกินจำเป็น",IF(AND(P14="เปลี่ยนเป็นหน่วยงานผู้เชี่ยวชาญ",M14="No"),"⚠ เสนอโอน แต่ตอบว่ายังไม่มีผู้เชี่ยวชาญตรวจ",IF(AND(P14="เปลี่ยนเป็นหน่วยงานผู้เชี่ยวชาญ",Q14=""),"⚠ ยังไม่ระบุหน่วยงานผู้เชี่ยวชาญ","")))))</f>
        <v/>
      </c>
      <c r="U14" s="69">
        <f>IF(AND(P14="ตัด D2",ISNUMBER(D14),ISNUMBER(F14)),D14*F14,"")</f>
        <v/>
      </c>
      <c r="V14" s="73" t="n"/>
      <c r="W14" s="70">
        <f>IF(C14="","",IF(AND(ISNUMBER(D14),D14=0),"✔ ไม่เคยทำ (ข้าม)",IF(COUNTA(D14:P14)=0,"○ ยังไม่เริ่ม",IF(IF(D14="","จำนวน/ปี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","")="","✔ ครบ","⏳ ขาด: "&amp;TRIM(IF(D14="","จำนวน/ปี ","")&amp;IF(E14="","ระยะเวลา ","")&amp;IF(F14="","D2ใช้(วัน) ","")&amp;IF(G14="","งบ ","")&amp;IF(H14="","อัตรากำลัง ","")&amp;IF(I14="","กฎหมาย ","")&amp;IF(J14="","ทรัพย์สิน ","")&amp;IF(K14="","ชื่อเสียง ","")&amp;IF(L14="","นโยบาย ","")&amp;IF(M14="","ผู้เชี่ยวชาญตรวจ ","")&amp;IF(N14="","D2เพิ่มคุณค่า ","")&amp;IF(O14="","D2ตีกลับ ","")&amp;IF(P14="","ข้อเสนอ ","")&amp;IF(AND(P14="เปลี่ยนเป็นหน่วยงานผู้เชี่ยวชาญ",Q14=""),"หน่วยงานผู้เชี่ยวชาญ ",""))))))</f>
        <v/>
      </c>
    </row>
    <row r="15">
      <c r="A15" s="69" t="n">
        <v>9</v>
      </c>
      <c r="B15" s="70" t="inlineStr">
        <is>
          <t>การเงินและพัสดุ</t>
        </is>
      </c>
      <c r="C15" s="71" t="inlineStr">
        <is>
          <t>ขออนุมัติราคากลาง</t>
        </is>
      </c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69">
        <f>IF(COUNTA(G15:I15,M15)&lt;4,"",Settings!$C$5*(G15="Yes")+Settings!$C$6*(H15="Yes")+Settings!$C$7*(I15="Yes")+Settings!$C$8*(M15="No"))</f>
        <v/>
      </c>
      <c r="S15" s="69">
        <f>IF(R15="","",IF(R15&gt;=Settings!$C$13,"สูง",IF(R15&gt;=Settings!$C$12,"ปานกลาง","ต่ำ")))</f>
        <v/>
      </c>
      <c r="T15" s="70">
        <f>IF(OR(S15="",P15=""),"",IF(AND(S15="สูง",P15="ตัด D2"),"⚠ เสี่ยงสูงแต่เสนอตัด D2 — ควรทบทวน",IF(AND(S15="ต่ำ",P15="คง D2"),"ℹ เสี่ยงต่ำแต่เสนอคง D2 — อาจควบคุมเกินจำเป็น",IF(AND(P15="เปลี่ยนเป็นหน่วยงานผู้เชี่ยวชาญ",M15="No"),"⚠ เสนอโอน แต่ตอบว่ายังไม่มีผู้เชี่ยวชาญตรวจ",IF(AND(P15="เปลี่ยนเป็นหน่วยงานผู้เชี่ยวชาญ",Q15=""),"⚠ ยังไม่ระบุหน่วยงานผู้เชี่ยวชาญ","")))))</f>
        <v/>
      </c>
      <c r="U15" s="69">
        <f>IF(AND(P15="ตัด D2",ISNUMBER(D15),ISNUMBER(F15)),D15*F15,"")</f>
        <v/>
      </c>
      <c r="V15" s="73" t="n"/>
      <c r="W15" s="70">
        <f>IF(C15="","",IF(AND(ISNUMBER(D15),D15=0),"✔ ไม่เคยทำ (ข้าม)",IF(COUNTA(D15:P15)=0,"○ ยังไม่เริ่ม",IF(IF(D15="","จำนวน/ปี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","")="","✔ ครบ","⏳ ขาด: "&amp;TRIM(IF(D15="","จำนวน/ปี ","")&amp;IF(E15="","ระยะเวลา ","")&amp;IF(F15="","D2ใช้(วัน) ","")&amp;IF(G15="","งบ ","")&amp;IF(H15="","อัตรากำลัง ","")&amp;IF(I15="","กฎหมาย ","")&amp;IF(J15="","ทรัพย์สิน ","")&amp;IF(K15="","ชื่อเสียง ","")&amp;IF(L15="","นโยบาย ","")&amp;IF(M15="","ผู้เชี่ยวชาญตรวจ ","")&amp;IF(N15="","D2เพิ่มคุณค่า ","")&amp;IF(O15="","D2ตีกลับ ","")&amp;IF(P15="","ข้อเสนอ ","")&amp;IF(AND(P15="เปลี่ยนเป็นหน่วยงานผู้เชี่ยวชาญ",Q15=""),"หน่วยงานผู้เชี่ยวชาญ ",""))))))</f>
        <v/>
      </c>
    </row>
    <row r="16">
      <c r="A16" s="69" t="n">
        <v>10</v>
      </c>
      <c r="B16" s="70" t="inlineStr">
        <is>
          <t>การเงินและพัสดุ</t>
        </is>
      </c>
      <c r="C16" s="71" t="inlineStr">
        <is>
          <t>แต่งตั้งคณะกรรมการจัดซื้อจัดจ้าง</t>
        </is>
      </c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69">
        <f>IF(COUNTA(G16:I16,M16)&lt;4,"",Settings!$C$5*(G16="Yes")+Settings!$C$6*(H16="Yes")+Settings!$C$7*(I16="Yes")+Settings!$C$8*(M16="No"))</f>
        <v/>
      </c>
      <c r="S16" s="69">
        <f>IF(R16="","",IF(R16&gt;=Settings!$C$13,"สูง",IF(R16&gt;=Settings!$C$12,"ปานกลาง","ต่ำ")))</f>
        <v/>
      </c>
      <c r="T16" s="70">
        <f>IF(OR(S16="",P16=""),"",IF(AND(S16="สูง",P16="ตัด D2"),"⚠ เสี่ยงสูงแต่เสนอตัด D2 — ควรทบทวน",IF(AND(S16="ต่ำ",P16="คง D2"),"ℹ เสี่ยงต่ำแต่เสนอคง D2 — อาจควบคุมเกินจำเป็น",IF(AND(P16="เปลี่ยนเป็นหน่วยงานผู้เชี่ยวชาญ",M16="No"),"⚠ เสนอโอน แต่ตอบว่ายังไม่มีผู้เชี่ยวชาญตรวจ",IF(AND(P16="เปลี่ยนเป็นหน่วยงานผู้เชี่ยวชาญ",Q16=""),"⚠ ยังไม่ระบุหน่วยงานผู้เชี่ยวชาญ","")))))</f>
        <v/>
      </c>
      <c r="U16" s="69">
        <f>IF(AND(P16="ตัด D2",ISNUMBER(D16),ISNUMBER(F16)),D16*F16,"")</f>
        <v/>
      </c>
      <c r="V16" s="73" t="n"/>
      <c r="W16" s="70">
        <f>IF(C16="","",IF(AND(ISNUMBER(D16),D16=0),"✔ ไม่เคยทำ (ข้าม)",IF(COUNTA(D16:P16)=0,"○ ยังไม่เริ่ม",IF(IF(D16="","จำนวน/ปี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","")="","✔ ครบ","⏳ ขาด: "&amp;TRIM(IF(D16="","จำนวน/ปี ","")&amp;IF(E16="","ระยะเวลา ","")&amp;IF(F16="","D2ใช้(วัน) ","")&amp;IF(G16="","งบ ","")&amp;IF(H16="","อัตรากำลัง ","")&amp;IF(I16="","กฎหมาย ","")&amp;IF(J16="","ทรัพย์สิน ","")&amp;IF(K16="","ชื่อเสียง ","")&amp;IF(L16="","นโยบาย ","")&amp;IF(M16="","ผู้เชี่ยวชาญตรวจ ","")&amp;IF(N16="","D2เพิ่มคุณค่า ","")&amp;IF(O16="","D2ตีกลับ ","")&amp;IF(P16="","ข้อเสนอ ","")&amp;IF(AND(P16="เปลี่ยนเป็นหน่วยงานผู้เชี่ยวชาญ",Q16=""),"หน่วยงานผู้เชี่ยวชาญ ",""))))))</f>
        <v/>
      </c>
    </row>
    <row r="17">
      <c r="A17" s="69" t="n">
        <v>11</v>
      </c>
      <c r="B17" s="70" t="inlineStr">
        <is>
          <t>การเงินและพัสดุ</t>
        </is>
      </c>
      <c r="C17" s="71" t="inlineStr">
        <is>
          <t>อนุมัติผลการจัดซื้อจัดจ้าง</t>
        </is>
      </c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69">
        <f>IF(COUNTA(G17:I17,M17)&lt;4,"",Settings!$C$5*(G17="Yes")+Settings!$C$6*(H17="Yes")+Settings!$C$7*(I17="Yes")+Settings!$C$8*(M17="No"))</f>
        <v/>
      </c>
      <c r="S17" s="69">
        <f>IF(R17="","",IF(R17&gt;=Settings!$C$13,"สูง",IF(R17&gt;=Settings!$C$12,"ปานกลาง","ต่ำ")))</f>
        <v/>
      </c>
      <c r="T17" s="70">
        <f>IF(OR(S17="",P17=""),"",IF(AND(S17="สูง",P17="ตัด D2"),"⚠ เสี่ยงสูงแต่เสนอตัด D2 — ควรทบทวน",IF(AND(S17="ต่ำ",P17="คง D2"),"ℹ เสี่ยงต่ำแต่เสนอคง D2 — อาจควบคุมเกินจำเป็น",IF(AND(P17="เปลี่ยนเป็นหน่วยงานผู้เชี่ยวชาญ",M17="No"),"⚠ เสนอโอน แต่ตอบว่ายังไม่มีผู้เชี่ยวชาญตรวจ",IF(AND(P17="เปลี่ยนเป็นหน่วยงานผู้เชี่ยวชาญ",Q17=""),"⚠ ยังไม่ระบุหน่วยงานผู้เชี่ยวชาญ","")))))</f>
        <v/>
      </c>
      <c r="U17" s="69">
        <f>IF(AND(P17="ตัด D2",ISNUMBER(D17),ISNUMBER(F17)),D17*F17,"")</f>
        <v/>
      </c>
      <c r="V17" s="73" t="n"/>
      <c r="W17" s="70">
        <f>IF(C17="","",IF(AND(ISNUMBER(D17),D17=0),"✔ ไม่เคยทำ (ข้าม)",IF(COUNTA(D17:P17)=0,"○ ยังไม่เริ่ม",IF(IF(D17="","จำนวน/ปี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","")="","✔ ครบ","⏳ ขาด: "&amp;TRIM(IF(D17="","จำนวน/ปี ","")&amp;IF(E17="","ระยะเวลา ","")&amp;IF(F17="","D2ใช้(วัน) ","")&amp;IF(G17="","งบ ","")&amp;IF(H17="","อัตรากำลัง ","")&amp;IF(I17="","กฎหมาย ","")&amp;IF(J17="","ทรัพย์สิน ","")&amp;IF(K17="","ชื่อเสียง ","")&amp;IF(L17="","นโยบาย ","")&amp;IF(M17="","ผู้เชี่ยวชาญตรวจ ","")&amp;IF(N17="","D2เพิ่มคุณค่า ","")&amp;IF(O17="","D2ตีกลับ ","")&amp;IF(P17="","ข้อเสนอ ","")&amp;IF(AND(P17="เปลี่ยนเป็นหน่วยงานผู้เชี่ยวชาญ",Q17=""),"หน่วยงานผู้เชี่ยวชาญ ",""))))))</f>
        <v/>
      </c>
    </row>
    <row r="18">
      <c r="A18" s="69" t="n">
        <v>12</v>
      </c>
      <c r="B18" s="70" t="inlineStr">
        <is>
          <t>การเงินและพัสดุ</t>
        </is>
      </c>
      <c r="C18" s="71" t="inlineStr">
        <is>
          <t>ขอขยายสัญญา</t>
        </is>
      </c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69">
        <f>IF(COUNTA(G18:I18,M18)&lt;4,"",Settings!$C$5*(G18="Yes")+Settings!$C$6*(H18="Yes")+Settings!$C$7*(I18="Yes")+Settings!$C$8*(M18="No"))</f>
        <v/>
      </c>
      <c r="S18" s="69">
        <f>IF(R18="","",IF(R18&gt;=Settings!$C$13,"สูง",IF(R18&gt;=Settings!$C$12,"ปานกลาง","ต่ำ")))</f>
        <v/>
      </c>
      <c r="T18" s="70">
        <f>IF(OR(S18="",P18=""),"",IF(AND(S18="สูง",P18="ตัด D2"),"⚠ เสี่ยงสูงแต่เสนอตัด D2 — ควรทบทวน",IF(AND(S18="ต่ำ",P18="คง D2"),"ℹ เสี่ยงต่ำแต่เสนอคง D2 — อาจควบคุมเกินจำเป็น",IF(AND(P18="เปลี่ยนเป็นหน่วยงานผู้เชี่ยวชาญ",M18="No"),"⚠ เสนอโอน แต่ตอบว่ายังไม่มีผู้เชี่ยวชาญตรวจ",IF(AND(P18="เปลี่ยนเป็นหน่วยงานผู้เชี่ยวชาญ",Q18=""),"⚠ ยังไม่ระบุหน่วยงานผู้เชี่ยวชาญ","")))))</f>
        <v/>
      </c>
      <c r="U18" s="69">
        <f>IF(AND(P18="ตัด D2",ISNUMBER(D18),ISNUMBER(F18)),D18*F18,"")</f>
        <v/>
      </c>
      <c r="V18" s="73" t="n"/>
      <c r="W18" s="70">
        <f>IF(C18="","",IF(AND(ISNUMBER(D18),D18=0),"✔ ไม่เคยทำ (ข้าม)",IF(COUNTA(D18:P18)=0,"○ ยังไม่เริ่ม",IF(IF(D18="","จำนวน/ปี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","")="","✔ ครบ","⏳ ขาด: "&amp;TRIM(IF(D18="","จำนวน/ปี ","")&amp;IF(E18="","ระยะเวลา ","")&amp;IF(F18="","D2ใช้(วัน) ","")&amp;IF(G18="","งบ ","")&amp;IF(H18="","อัตรากำลัง ","")&amp;IF(I18="","กฎหมาย ","")&amp;IF(J18="","ทรัพย์สิน ","")&amp;IF(K18="","ชื่อเสียง ","")&amp;IF(L18="","นโยบาย ","")&amp;IF(M18="","ผู้เชี่ยวชาญตรวจ ","")&amp;IF(N18="","D2เพิ่มคุณค่า ","")&amp;IF(O18="","D2ตีกลับ ","")&amp;IF(P18="","ข้อเสนอ ","")&amp;IF(AND(P18="เปลี่ยนเป็นหน่วยงานผู้เชี่ยวชาญ",Q18=""),"หน่วยงานผู้เชี่ยวชาญ ",""))))))</f>
        <v/>
      </c>
    </row>
    <row r="19">
      <c r="A19" s="69" t="n">
        <v>13</v>
      </c>
      <c r="B19" s="70" t="inlineStr">
        <is>
          <t>การเงินและพัสดุ</t>
        </is>
      </c>
      <c r="C19" s="71" t="inlineStr">
        <is>
          <t>ตรวจรับพัสดุ</t>
        </is>
      </c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69">
        <f>IF(COUNTA(G19:I19,M19)&lt;4,"",Settings!$C$5*(G19="Yes")+Settings!$C$6*(H19="Yes")+Settings!$C$7*(I19="Yes")+Settings!$C$8*(M19="No"))</f>
        <v/>
      </c>
      <c r="S19" s="69">
        <f>IF(R19="","",IF(R19&gt;=Settings!$C$13,"สูง",IF(R19&gt;=Settings!$C$12,"ปานกลาง","ต่ำ")))</f>
        <v/>
      </c>
      <c r="T19" s="70">
        <f>IF(OR(S19="",P19=""),"",IF(AND(S19="สูง",P19="ตัด D2"),"⚠ เสี่ยงสูงแต่เสนอตัด D2 — ควรทบทวน",IF(AND(S19="ต่ำ",P19="คง D2"),"ℹ เสี่ยงต่ำแต่เสนอคง D2 — อาจควบคุมเกินจำเป็น",IF(AND(P19="เปลี่ยนเป็นหน่วยงานผู้เชี่ยวชาญ",M19="No"),"⚠ เสนอโอน แต่ตอบว่ายังไม่มีผู้เชี่ยวชาญตรวจ",IF(AND(P19="เปลี่ยนเป็นหน่วยงานผู้เชี่ยวชาญ",Q19=""),"⚠ ยังไม่ระบุหน่วยงานผู้เชี่ยวชาญ","")))))</f>
        <v/>
      </c>
      <c r="U19" s="69">
        <f>IF(AND(P19="ตัด D2",ISNUMBER(D19),ISNUMBER(F19)),D19*F19,"")</f>
        <v/>
      </c>
      <c r="V19" s="73" t="n"/>
      <c r="W19" s="70">
        <f>IF(C19="","",IF(AND(ISNUMBER(D19),D19=0),"✔ ไม่เคยทำ (ข้าม)",IF(COUNTA(D19:P19)=0,"○ ยังไม่เริ่ม",IF(IF(D19="","จำนวน/ปี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","")="","✔ ครบ","⏳ ขาด: "&amp;TRIM(IF(D19="","จำนวน/ปี ","")&amp;IF(E19="","ระยะเวลา ","")&amp;IF(F19="","D2ใช้(วัน) ","")&amp;IF(G19="","งบ ","")&amp;IF(H19="","อัตรากำลัง ","")&amp;IF(I19="","กฎหมาย ","")&amp;IF(J19="","ทรัพย์สิน ","")&amp;IF(K19="","ชื่อเสียง ","")&amp;IF(L19="","นโยบาย ","")&amp;IF(M19="","ผู้เชี่ยวชาญตรวจ ","")&amp;IF(N19="","D2เพิ่มคุณค่า ","")&amp;IF(O19="","D2ตีกลับ ","")&amp;IF(P19="","ข้อเสนอ ","")&amp;IF(AND(P19="เปลี่ยนเป็นหน่วยงานผู้เชี่ยวชาญ",Q19=""),"หน่วยงานผู้เชี่ยวชาญ ",""))))))</f>
        <v/>
      </c>
    </row>
    <row r="20">
      <c r="A20" s="69" t="n">
        <v>14</v>
      </c>
      <c r="B20" s="70" t="inlineStr">
        <is>
          <t>การเงินและพัสดุ</t>
        </is>
      </c>
      <c r="C20" s="71" t="inlineStr">
        <is>
          <t>เบิกจ่ายหลังตรวจรับ</t>
        </is>
      </c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69">
        <f>IF(COUNTA(G20:I20,M20)&lt;4,"",Settings!$C$5*(G20="Yes")+Settings!$C$6*(H20="Yes")+Settings!$C$7*(I20="Yes")+Settings!$C$8*(M20="No"))</f>
        <v/>
      </c>
      <c r="S20" s="69">
        <f>IF(R20="","",IF(R20&gt;=Settings!$C$13,"สูง",IF(R20&gt;=Settings!$C$12,"ปานกลาง","ต่ำ")))</f>
        <v/>
      </c>
      <c r="T20" s="70">
        <f>IF(OR(S20="",P20=""),"",IF(AND(S20="สูง",P20="ตัด D2"),"⚠ เสี่ยงสูงแต่เสนอตัด D2 — ควรทบทวน",IF(AND(S20="ต่ำ",P20="คง D2"),"ℹ เสี่ยงต่ำแต่เสนอคง D2 — อาจควบคุมเกินจำเป็น",IF(AND(P20="เปลี่ยนเป็นหน่วยงานผู้เชี่ยวชาญ",M20="No"),"⚠ เสนอโอน แต่ตอบว่ายังไม่มีผู้เชี่ยวชาญตรวจ",IF(AND(P20="เปลี่ยนเป็นหน่วยงานผู้เชี่ยวชาญ",Q20=""),"⚠ ยังไม่ระบุหน่วยงานผู้เชี่ยวชาญ","")))))</f>
        <v/>
      </c>
      <c r="U20" s="69">
        <f>IF(AND(P20="ตัด D2",ISNUMBER(D20),ISNUMBER(F20)),D20*F20,"")</f>
        <v/>
      </c>
      <c r="V20" s="73" t="n"/>
      <c r="W20" s="70">
        <f>IF(C20="","",IF(AND(ISNUMBER(D20),D20=0),"✔ ไม่เคยทำ (ข้าม)",IF(COUNTA(D20:P20)=0,"○ ยังไม่เริ่ม",IF(IF(D20="","จำนวน/ปี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","")="","✔ ครบ","⏳ ขาด: "&amp;TRIM(IF(D20="","จำนวน/ปี ","")&amp;IF(E20="","ระยะเวลา ","")&amp;IF(F20="","D2ใช้(วัน) ","")&amp;IF(G20="","งบ ","")&amp;IF(H20="","อัตรากำลัง ","")&amp;IF(I20="","กฎหมาย ","")&amp;IF(J20="","ทรัพย์สิน ","")&amp;IF(K20="","ชื่อเสียง ","")&amp;IF(L20="","นโยบาย ","")&amp;IF(M20="","ผู้เชี่ยวชาญตรวจ ","")&amp;IF(N20="","D2เพิ่มคุณค่า ","")&amp;IF(O20="","D2ตีกลับ ","")&amp;IF(P20="","ข้อเสนอ ","")&amp;IF(AND(P20="เปลี่ยนเป็นหน่วยงานผู้เชี่ยวชาญ",Q20=""),"หน่วยงานผู้เชี่ยวชาญ ",""))))))</f>
        <v/>
      </c>
    </row>
    <row r="21">
      <c r="A21" s="69" t="n">
        <v>15</v>
      </c>
      <c r="B21" s="70" t="inlineStr">
        <is>
          <t>การเงินและพัสดุ</t>
        </is>
      </c>
      <c r="C21" s="71" t="inlineStr">
        <is>
          <t>จำหน่ายพัสดุ</t>
        </is>
      </c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69">
        <f>IF(COUNTA(G21:I21,M21)&lt;4,"",Settings!$C$5*(G21="Yes")+Settings!$C$6*(H21="Yes")+Settings!$C$7*(I21="Yes")+Settings!$C$8*(M21="No"))</f>
        <v/>
      </c>
      <c r="S21" s="69">
        <f>IF(R21="","",IF(R21&gt;=Settings!$C$13,"สูง",IF(R21&gt;=Settings!$C$12,"ปานกลาง","ต่ำ")))</f>
        <v/>
      </c>
      <c r="T21" s="70">
        <f>IF(OR(S21="",P21=""),"",IF(AND(S21="สูง",P21="ตัด D2"),"⚠ เสี่ยงสูงแต่เสนอตัด D2 — ควรทบทวน",IF(AND(S21="ต่ำ",P21="คง D2"),"ℹ เสี่ยงต่ำแต่เสนอคง D2 — อาจควบคุมเกินจำเป็น",IF(AND(P21="เปลี่ยนเป็นหน่วยงานผู้เชี่ยวชาญ",M21="No"),"⚠ เสนอโอน แต่ตอบว่ายังไม่มีผู้เชี่ยวชาญตรวจ",IF(AND(P21="เปลี่ยนเป็นหน่วยงานผู้เชี่ยวชาญ",Q21=""),"⚠ ยังไม่ระบุหน่วยงานผู้เชี่ยวชาญ","")))))</f>
        <v/>
      </c>
      <c r="U21" s="69">
        <f>IF(AND(P21="ตัด D2",ISNUMBER(D21),ISNUMBER(F21)),D21*F21,"")</f>
        <v/>
      </c>
      <c r="V21" s="73" t="n"/>
      <c r="W21" s="70">
        <f>IF(C21="","",IF(AND(ISNUMBER(D21),D21=0),"✔ ไม่เคยทำ (ข้าม)",IF(COUNTA(D21:P21)=0,"○ ยังไม่เริ่ม",IF(IF(D21="","จำนวน/ปี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","")="","✔ ครบ","⏳ ขาด: "&amp;TRIM(IF(D21="","จำนวน/ปี ","")&amp;IF(E21="","ระยะเวลา ","")&amp;IF(F21="","D2ใช้(วัน) ","")&amp;IF(G21="","งบ ","")&amp;IF(H21="","อัตรากำลัง ","")&amp;IF(I21="","กฎหมาย ","")&amp;IF(J21="","ทรัพย์สิน ","")&amp;IF(K21="","ชื่อเสียง ","")&amp;IF(L21="","นโยบาย ","")&amp;IF(M21="","ผู้เชี่ยวชาญตรวจ ","")&amp;IF(N21="","D2เพิ่มคุณค่า ","")&amp;IF(O21="","D2ตีกลับ ","")&amp;IF(P21="","ข้อเสนอ ","")&amp;IF(AND(P21="เปลี่ยนเป็นหน่วยงานผู้เชี่ยวชาญ",Q21=""),"หน่วยงานผู้เชี่ยวชาญ ",""))))))</f>
        <v/>
      </c>
    </row>
    <row r="22">
      <c r="A22" s="69" t="n">
        <v>16</v>
      </c>
      <c r="B22" s="70" t="inlineStr">
        <is>
          <t>การเงินและพัสดุ</t>
        </is>
      </c>
      <c r="C22" s="71" t="inlineStr">
        <is>
          <t>จัดซื้อครุภัณฑ์นอกแผนที่มีผลกระทบต่อแผนงบประมาณคณะ</t>
        </is>
      </c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69">
        <f>IF(COUNTA(G22:I22,M22)&lt;4,"",Settings!$C$5*(G22="Yes")+Settings!$C$6*(H22="Yes")+Settings!$C$7*(I22="Yes")+Settings!$C$8*(M22="No"))</f>
        <v/>
      </c>
      <c r="S22" s="69">
        <f>IF(R22="","",IF(R22&gt;=Settings!$C$13,"สูง",IF(R22&gt;=Settings!$C$12,"ปานกลาง","ต่ำ")))</f>
        <v/>
      </c>
      <c r="T22" s="70">
        <f>IF(OR(S22="",P22=""),"",IF(AND(S22="สูง",P22="ตัด D2"),"⚠ เสี่ยงสูงแต่เสนอตัด D2 — ควรทบทวน",IF(AND(S22="ต่ำ",P22="คง D2"),"ℹ เสี่ยงต่ำแต่เสนอคง D2 — อาจควบคุมเกินจำเป็น",IF(AND(P22="เปลี่ยนเป็นหน่วยงานผู้เชี่ยวชาญ",M22="No"),"⚠ เสนอโอน แต่ตอบว่ายังไม่มีผู้เชี่ยวชาญตรวจ",IF(AND(P22="เปลี่ยนเป็นหน่วยงานผู้เชี่ยวชาญ",Q22=""),"⚠ ยังไม่ระบุหน่วยงานผู้เชี่ยวชาญ","")))))</f>
        <v/>
      </c>
      <c r="U22" s="69">
        <f>IF(AND(P22="ตัด D2",ISNUMBER(D22),ISNUMBER(F22)),D22*F22,"")</f>
        <v/>
      </c>
      <c r="V22" s="73" t="n"/>
      <c r="W22" s="70">
        <f>IF(C22="","",IF(AND(ISNUMBER(D22),D22=0),"✔ ไม่เคยทำ (ข้าม)",IF(COUNTA(D22:P22)=0,"○ ยังไม่เริ่ม",IF(IF(D22="","จำนวน/ปี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","")="","✔ ครบ","⏳ ขาด: "&amp;TRIM(IF(D22="","จำนวน/ปี ","")&amp;IF(E22="","ระยะเวลา ","")&amp;IF(F22="","D2ใช้(วัน) ","")&amp;IF(G22="","งบ ","")&amp;IF(H22="","อัตรากำลัง ","")&amp;IF(I22="","กฎหมาย ","")&amp;IF(J22="","ทรัพย์สิน ","")&amp;IF(K22="","ชื่อเสียง ","")&amp;IF(L22="","นโยบาย ","")&amp;IF(M22="","ผู้เชี่ยวชาญตรวจ ","")&amp;IF(N22="","D2เพิ่มคุณค่า ","")&amp;IF(O22="","D2ตีกลับ ","")&amp;IF(P22="","ข้อเสนอ ","")&amp;IF(AND(P22="เปลี่ยนเป็นหน่วยงานผู้เชี่ยวชาญ",Q22=""),"หน่วยงานผู้เชี่ยวชาญ ",""))))))</f>
        <v/>
      </c>
    </row>
    <row r="23">
      <c r="A23" s="69" t="n">
        <v>17</v>
      </c>
      <c r="B23" s="70" t="inlineStr">
        <is>
          <t>การเงินและพัสดุ</t>
        </is>
      </c>
      <c r="C23" s="71" t="inlineStr">
        <is>
          <t>จัดซื้อที่มีวงเงินสูงผิดปกติ</t>
        </is>
      </c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69">
        <f>IF(COUNTA(G23:I23,M23)&lt;4,"",Settings!$C$5*(G23="Yes")+Settings!$C$6*(H23="Yes")+Settings!$C$7*(I23="Yes")+Settings!$C$8*(M23="No"))</f>
        <v/>
      </c>
      <c r="S23" s="69">
        <f>IF(R23="","",IF(R23&gt;=Settings!$C$13,"สูง",IF(R23&gt;=Settings!$C$12,"ปานกลาง","ต่ำ")))</f>
        <v/>
      </c>
      <c r="T23" s="70">
        <f>IF(OR(S23="",P23=""),"",IF(AND(S23="สูง",P23="ตัด D2"),"⚠ เสี่ยงสูงแต่เสนอตัด D2 — ควรทบทวน",IF(AND(S23="ต่ำ",P23="คง D2"),"ℹ เสี่ยงต่ำแต่เสนอคง D2 — อาจควบคุมเกินจำเป็น",IF(AND(P23="เปลี่ยนเป็นหน่วยงานผู้เชี่ยวชาญ",M23="No"),"⚠ เสนอโอน แต่ตอบว่ายังไม่มีผู้เชี่ยวชาญตรวจ",IF(AND(P23="เปลี่ยนเป็นหน่วยงานผู้เชี่ยวชาญ",Q23=""),"⚠ ยังไม่ระบุหน่วยงานผู้เชี่ยวชาญ","")))))</f>
        <v/>
      </c>
      <c r="U23" s="69">
        <f>IF(AND(P23="ตัด D2",ISNUMBER(D23),ISNUMBER(F23)),D23*F23,"")</f>
        <v/>
      </c>
      <c r="V23" s="73" t="n"/>
      <c r="W23" s="70">
        <f>IF(C23="","",IF(AND(ISNUMBER(D23),D23=0),"✔ ไม่เคยทำ (ข้าม)",IF(COUNTA(D23:P23)=0,"○ ยังไม่เริ่ม",IF(IF(D23="","จำนวน/ปี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","")="","✔ ครบ","⏳ ขาด: "&amp;TRIM(IF(D23="","จำนวน/ปี ","")&amp;IF(E23="","ระยะเวลา ","")&amp;IF(F23="","D2ใช้(วัน) ","")&amp;IF(G23="","งบ ","")&amp;IF(H23="","อัตรากำลัง ","")&amp;IF(I23="","กฎหมาย ","")&amp;IF(J23="","ทรัพย์สิน ","")&amp;IF(K23="","ชื่อเสียง ","")&amp;IF(L23="","นโยบาย ","")&amp;IF(M23="","ผู้เชี่ยวชาญตรวจ ","")&amp;IF(N23="","D2เพิ่มคุณค่า ","")&amp;IF(O23="","D2ตีกลับ ","")&amp;IF(P23="","ข้อเสนอ ","")&amp;IF(AND(P23="เปลี่ยนเป็นหน่วยงานผู้เชี่ยวชาญ",Q23=""),"หน่วยงานผู้เชี่ยวชาญ ",""))))))</f>
        <v/>
      </c>
    </row>
    <row r="24">
      <c r="A24" s="69" t="n">
        <v>18</v>
      </c>
      <c r="B24" s="70" t="inlineStr">
        <is>
          <t>การเงินและพัสดุ</t>
        </is>
      </c>
      <c r="C24" s="71" t="inlineStr">
        <is>
          <t>การก่อสร้างหรือปรับปรุงอาคาร</t>
        </is>
      </c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69">
        <f>IF(COUNTA(G24:I24,M24)&lt;4,"",Settings!$C$5*(G24="Yes")+Settings!$C$6*(H24="Yes")+Settings!$C$7*(I24="Yes")+Settings!$C$8*(M24="No"))</f>
        <v/>
      </c>
      <c r="S24" s="69">
        <f>IF(R24="","",IF(R24&gt;=Settings!$C$13,"สูง",IF(R24&gt;=Settings!$C$12,"ปานกลาง","ต่ำ")))</f>
        <v/>
      </c>
      <c r="T24" s="70">
        <f>IF(OR(S24="",P24=""),"",IF(AND(S24="สูง",P24="ตัด D2"),"⚠ เสี่ยงสูงแต่เสนอตัด D2 — ควรทบทวน",IF(AND(S24="ต่ำ",P24="คง D2"),"ℹ เสี่ยงต่ำแต่เสนอคง D2 — อาจควบคุมเกินจำเป็น",IF(AND(P24="เปลี่ยนเป็นหน่วยงานผู้เชี่ยวชาญ",M24="No"),"⚠ เสนอโอน แต่ตอบว่ายังไม่มีผู้เชี่ยวชาญตรวจ",IF(AND(P24="เปลี่ยนเป็นหน่วยงานผู้เชี่ยวชาญ",Q24=""),"⚠ ยังไม่ระบุหน่วยงานผู้เชี่ยวชาญ","")))))</f>
        <v/>
      </c>
      <c r="U24" s="69">
        <f>IF(AND(P24="ตัด D2",ISNUMBER(D24),ISNUMBER(F24)),D24*F24,"")</f>
        <v/>
      </c>
      <c r="V24" s="73" t="n"/>
      <c r="W24" s="70">
        <f>IF(C24="","",IF(AND(ISNUMBER(D24),D24=0),"✔ ไม่เคยทำ (ข้าม)",IF(COUNTA(D24:P24)=0,"○ ยังไม่เริ่ม",IF(IF(D24="","จำนวน/ปี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","")="","✔ ครบ","⏳ ขาด: "&amp;TRIM(IF(D24="","จำนวน/ปี ","")&amp;IF(E24="","ระยะเวลา ","")&amp;IF(F24="","D2ใช้(วัน) ","")&amp;IF(G24="","งบ ","")&amp;IF(H24="","อัตรากำลัง ","")&amp;IF(I24="","กฎหมาย ","")&amp;IF(J24="","ทรัพย์สิน ","")&amp;IF(K24="","ชื่อเสียง ","")&amp;IF(L24="","นโยบาย ","")&amp;IF(M24="","ผู้เชี่ยวชาญตรวจ ","")&amp;IF(N24="","D2เพิ่มคุณค่า ","")&amp;IF(O24="","D2ตีกลับ ","")&amp;IF(P24="","ข้อเสนอ ","")&amp;IF(AND(P24="เปลี่ยนเป็นหน่วยงานผู้เชี่ยวชาญ",Q24=""),"หน่วยงานผู้เชี่ยวชาญ ",""))))))</f>
        <v/>
      </c>
    </row>
    <row r="25">
      <c r="A25" s="69" t="n">
        <v>19</v>
      </c>
      <c r="B25" s="70" t="inlineStr">
        <is>
          <t>การเงินและพัสดุ</t>
        </is>
      </c>
      <c r="C25" s="71" t="inlineStr">
        <is>
          <t>การจัดซื้อที่มีข้อร้องเรียนหรือข้อทักท้วง</t>
        </is>
      </c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69">
        <f>IF(COUNTA(G25:I25,M25)&lt;4,"",Settings!$C$5*(G25="Yes")+Settings!$C$6*(H25="Yes")+Settings!$C$7*(I25="Yes")+Settings!$C$8*(M25="No"))</f>
        <v/>
      </c>
      <c r="S25" s="69">
        <f>IF(R25="","",IF(R25&gt;=Settings!$C$13,"สูง",IF(R25&gt;=Settings!$C$12,"ปานกลาง","ต่ำ")))</f>
        <v/>
      </c>
      <c r="T25" s="70">
        <f>IF(OR(S25="",P25=""),"",IF(AND(S25="สูง",P25="ตัด D2"),"⚠ เสี่ยงสูงแต่เสนอตัด D2 — ควรทบทวน",IF(AND(S25="ต่ำ",P25="คง D2"),"ℹ เสี่ยงต่ำแต่เสนอคง D2 — อาจควบคุมเกินจำเป็น",IF(AND(P25="เปลี่ยนเป็นหน่วยงานผู้เชี่ยวชาญ",M25="No"),"⚠ เสนอโอน แต่ตอบว่ายังไม่มีผู้เชี่ยวชาญตรวจ",IF(AND(P25="เปลี่ยนเป็นหน่วยงานผู้เชี่ยวชาญ",Q25=""),"⚠ ยังไม่ระบุหน่วยงานผู้เชี่ยวชาญ","")))))</f>
        <v/>
      </c>
      <c r="U25" s="69">
        <f>IF(AND(P25="ตัด D2",ISNUMBER(D25),ISNUMBER(F25)),D25*F25,"")</f>
        <v/>
      </c>
      <c r="V25" s="73" t="n"/>
      <c r="W25" s="70">
        <f>IF(C25="","",IF(AND(ISNUMBER(D25),D25=0),"✔ ไม่เคยทำ (ข้าม)",IF(COUNTA(D25:P25)=0,"○ ยังไม่เริ่ม",IF(IF(D25="","จำนวน/ปี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","")="","✔ ครบ","⏳ ขาด: "&amp;TRIM(IF(D25="","จำนวน/ปี ","")&amp;IF(E25="","ระยะเวลา ","")&amp;IF(F25="","D2ใช้(วัน) ","")&amp;IF(G25="","งบ ","")&amp;IF(H25="","อัตรากำลัง ","")&amp;IF(I25="","กฎหมาย ","")&amp;IF(J25="","ทรัพย์สิน ","")&amp;IF(K25="","ชื่อเสียง ","")&amp;IF(L25="","นโยบาย ","")&amp;IF(M25="","ผู้เชี่ยวชาญตรวจ ","")&amp;IF(N25="","D2เพิ่มคุณค่า ","")&amp;IF(O25="","D2ตีกลับ ","")&amp;IF(P25="","ข้อเสนอ ","")&amp;IF(AND(P25="เปลี่ยนเป็นหน่วยงานผู้เชี่ยวชาญ",Q25=""),"หน่วยงานผู้เชี่ยวชาญ ",""))))))</f>
        <v/>
      </c>
    </row>
    <row r="26">
      <c r="A26" s="69" t="n">
        <v>20</v>
      </c>
      <c r="B26" s="70" t="inlineStr">
        <is>
          <t>การเงินและพัสดุ</t>
        </is>
      </c>
      <c r="C26" s="71" t="inlineStr">
        <is>
          <t>การจัดซื้อจัดจ้างกรณียกเว้นหรือใช้ดุลยพินิจพิเศษ</t>
        </is>
      </c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69">
        <f>IF(COUNTA(G26:I26,M26)&lt;4,"",Settings!$C$5*(G26="Yes")+Settings!$C$6*(H26="Yes")+Settings!$C$7*(I26="Yes")+Settings!$C$8*(M26="No"))</f>
        <v/>
      </c>
      <c r="S26" s="69">
        <f>IF(R26="","",IF(R26&gt;=Settings!$C$13,"สูง",IF(R26&gt;=Settings!$C$12,"ปานกลาง","ต่ำ")))</f>
        <v/>
      </c>
      <c r="T26" s="70">
        <f>IF(OR(S26="",P26=""),"",IF(AND(S26="สูง",P26="ตัด D2"),"⚠ เสี่ยงสูงแต่เสนอตัด D2 — ควรทบทวน",IF(AND(S26="ต่ำ",P26="คง D2"),"ℹ เสี่ยงต่ำแต่เสนอคง D2 — อาจควบคุมเกินจำเป็น",IF(AND(P26="เปลี่ยนเป็นหน่วยงานผู้เชี่ยวชาญ",M26="No"),"⚠ เสนอโอน แต่ตอบว่ายังไม่มีผู้เชี่ยวชาญตรวจ",IF(AND(P26="เปลี่ยนเป็นหน่วยงานผู้เชี่ยวชาญ",Q26=""),"⚠ ยังไม่ระบุหน่วยงานผู้เชี่ยวชาญ","")))))</f>
        <v/>
      </c>
      <c r="U26" s="69">
        <f>IF(AND(P26="ตัด D2",ISNUMBER(D26),ISNUMBER(F26)),D26*F26,"")</f>
        <v/>
      </c>
      <c r="V26" s="73" t="n"/>
      <c r="W26" s="70">
        <f>IF(C26="","",IF(AND(ISNUMBER(D26),D26=0),"✔ ไม่เคยทำ (ข้าม)",IF(COUNTA(D26:P26)=0,"○ ยังไม่เริ่ม",IF(IF(D26="","จำนวน/ปี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","")="","✔ ครบ","⏳ ขาด: "&amp;TRIM(IF(D26="","จำนวน/ปี ","")&amp;IF(E26="","ระยะเวลา ","")&amp;IF(F26="","D2ใช้(วัน) ","")&amp;IF(G26="","งบ ","")&amp;IF(H26="","อัตรากำลัง ","")&amp;IF(I26="","กฎหมาย ","")&amp;IF(J26="","ทรัพย์สิน ","")&amp;IF(K26="","ชื่อเสียง ","")&amp;IF(L26="","นโยบาย ","")&amp;IF(M26="","ผู้เชี่ยวชาญตรวจ ","")&amp;IF(N26="","D2เพิ่มคุณค่า ","")&amp;IF(O26="","D2ตีกลับ ","")&amp;IF(P26="","ข้อเสนอ ","")&amp;IF(AND(P26="เปลี่ยนเป็นหน่วยงานผู้เชี่ยวชาญ",Q26=""),"หน่วยงานผู้เชี่ยวชาญ ",""))))))</f>
        <v/>
      </c>
    </row>
    <row r="27">
      <c r="A27" s="69" t="n">
        <v>21</v>
      </c>
      <c r="B27" s="70" t="inlineStr">
        <is>
          <t>โครงการและกิจกรรม</t>
        </is>
      </c>
      <c r="C27" s="71" t="inlineStr">
        <is>
          <t>โครงการตามแผนปฏิบัติการ</t>
        </is>
      </c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69">
        <f>IF(COUNTA(G27:I27,M27)&lt;4,"",Settings!$C$5*(G27="Yes")+Settings!$C$6*(H27="Yes")+Settings!$C$7*(I27="Yes")+Settings!$C$8*(M27="No"))</f>
        <v/>
      </c>
      <c r="S27" s="69">
        <f>IF(R27="","",IF(R27&gt;=Settings!$C$13,"สูง",IF(R27&gt;=Settings!$C$12,"ปานกลาง","ต่ำ")))</f>
        <v/>
      </c>
      <c r="T27" s="70">
        <f>IF(OR(S27="",P27=""),"",IF(AND(S27="สูง",P27="ตัด D2"),"⚠ เสี่ยงสูงแต่เสนอตัด D2 — ควรทบทวน",IF(AND(S27="ต่ำ",P27="คง D2"),"ℹ เสี่ยงต่ำแต่เสนอคง D2 — อาจควบคุมเกินจำเป็น",IF(AND(P27="เปลี่ยนเป็นหน่วยงานผู้เชี่ยวชาญ",M27="No"),"⚠ เสนอโอน แต่ตอบว่ายังไม่มีผู้เชี่ยวชาญตรวจ",IF(AND(P27="เปลี่ยนเป็นหน่วยงานผู้เชี่ยวชาญ",Q27=""),"⚠ ยังไม่ระบุหน่วยงานผู้เชี่ยวชาญ","")))))</f>
        <v/>
      </c>
      <c r="U27" s="69">
        <f>IF(AND(P27="ตัด D2",ISNUMBER(D27),ISNUMBER(F27)),D27*F27,"")</f>
        <v/>
      </c>
      <c r="V27" s="73" t="n"/>
      <c r="W27" s="70">
        <f>IF(C27="","",IF(AND(ISNUMBER(D27),D27=0),"✔ ไม่เคยทำ (ข้าม)",IF(COUNTA(D27:P27)=0,"○ ยังไม่เริ่ม",IF(IF(D27="","จำนวน/ปี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","")="","✔ ครบ","⏳ ขาด: "&amp;TRIM(IF(D27="","จำนวน/ปี ","")&amp;IF(E27="","ระยะเวลา ","")&amp;IF(F27="","D2ใช้(วัน) ","")&amp;IF(G27="","งบ ","")&amp;IF(H27="","อัตรากำลัง ","")&amp;IF(I27="","กฎหมาย ","")&amp;IF(J27="","ทรัพย์สิน ","")&amp;IF(K27="","ชื่อเสียง ","")&amp;IF(L27="","นโยบาย ","")&amp;IF(M27="","ผู้เชี่ยวชาญตรวจ ","")&amp;IF(N27="","D2เพิ่มคุณค่า ","")&amp;IF(O27="","D2ตีกลับ ","")&amp;IF(P27="","ข้อเสนอ ","")&amp;IF(AND(P27="เปลี่ยนเป็นหน่วยงานผู้เชี่ยวชาญ",Q27=""),"หน่วยงานผู้เชี่ยวชาญ ",""))))))</f>
        <v/>
      </c>
    </row>
    <row r="28">
      <c r="A28" s="69" t="n">
        <v>22</v>
      </c>
      <c r="B28" s="70" t="inlineStr">
        <is>
          <t>โครงการและกิจกรรม</t>
        </is>
      </c>
      <c r="C28" s="71" t="inlineStr">
        <is>
          <t>เปลี่ยนแปลงกำหนดการกิจกรรม/รายการงบประมาณในโครงการ (ที่ได้รับอนุมัติแล้ว)</t>
        </is>
      </c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69">
        <f>IF(COUNTA(G28:I28,M28)&lt;4,"",Settings!$C$5*(G28="Yes")+Settings!$C$6*(H28="Yes")+Settings!$C$7*(I28="Yes")+Settings!$C$8*(M28="No"))</f>
        <v/>
      </c>
      <c r="S28" s="69">
        <f>IF(R28="","",IF(R28&gt;=Settings!$C$13,"สูง",IF(R28&gt;=Settings!$C$12,"ปานกลาง","ต่ำ")))</f>
        <v/>
      </c>
      <c r="T28" s="70">
        <f>IF(OR(S28="",P28=""),"",IF(AND(S28="สูง",P28="ตัด D2"),"⚠ เสี่ยงสูงแต่เสนอตัด D2 — ควรทบทวน",IF(AND(S28="ต่ำ",P28="คง D2"),"ℹ เสี่ยงต่ำแต่เสนอคง D2 — อาจควบคุมเกินจำเป็น",IF(AND(P28="เปลี่ยนเป็นหน่วยงานผู้เชี่ยวชาญ",M28="No"),"⚠ เสนอโอน แต่ตอบว่ายังไม่มีผู้เชี่ยวชาญตรวจ",IF(AND(P28="เปลี่ยนเป็นหน่วยงานผู้เชี่ยวชาญ",Q28=""),"⚠ ยังไม่ระบุหน่วยงานผู้เชี่ยวชาญ","")))))</f>
        <v/>
      </c>
      <c r="U28" s="69">
        <f>IF(AND(P28="ตัด D2",ISNUMBER(D28),ISNUMBER(F28)),D28*F28,"")</f>
        <v/>
      </c>
      <c r="V28" s="73" t="n"/>
      <c r="W28" s="70">
        <f>IF(C28="","",IF(AND(ISNUMBER(D28),D28=0),"✔ ไม่เคยทำ (ข้าม)",IF(COUNTA(D28:P28)=0,"○ ยังไม่เริ่ม",IF(IF(D28="","จำนวน/ปี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","")="","✔ ครบ","⏳ ขาด: "&amp;TRIM(IF(D28="","จำนวน/ปี ","")&amp;IF(E28="","ระยะเวลา ","")&amp;IF(F28="","D2ใช้(วัน) ","")&amp;IF(G28="","งบ ","")&amp;IF(H28="","อัตรากำลัง ","")&amp;IF(I28="","กฎหมาย ","")&amp;IF(J28="","ทรัพย์สิน ","")&amp;IF(K28="","ชื่อเสียง ","")&amp;IF(L28="","นโยบาย ","")&amp;IF(M28="","ผู้เชี่ยวชาญตรวจ ","")&amp;IF(N28="","D2เพิ่มคุณค่า ","")&amp;IF(O28="","D2ตีกลับ ","")&amp;IF(P28="","ข้อเสนอ ","")&amp;IF(AND(P28="เปลี่ยนเป็นหน่วยงานผู้เชี่ยวชาญ",Q28=""),"หน่วยงานผู้เชี่ยวชาญ ",""))))))</f>
        <v/>
      </c>
    </row>
    <row r="29">
      <c r="A29" s="69" t="n">
        <v>23</v>
      </c>
      <c r="B29" s="70" t="inlineStr">
        <is>
          <t>โครงการและกิจกรรม</t>
        </is>
      </c>
      <c r="C29" s="71" t="inlineStr">
        <is>
          <t>รายงานผลโครงการ</t>
        </is>
      </c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69">
        <f>IF(COUNTA(G29:I29,M29)&lt;4,"",Settings!$C$5*(G29="Yes")+Settings!$C$6*(H29="Yes")+Settings!$C$7*(I29="Yes")+Settings!$C$8*(M29="No"))</f>
        <v/>
      </c>
      <c r="S29" s="69">
        <f>IF(R29="","",IF(R29&gt;=Settings!$C$13,"สูง",IF(R29&gt;=Settings!$C$12,"ปานกลาง","ต่ำ")))</f>
        <v/>
      </c>
      <c r="T29" s="70">
        <f>IF(OR(S29="",P29=""),"",IF(AND(S29="สูง",P29="ตัด D2"),"⚠ เสี่ยงสูงแต่เสนอตัด D2 — ควรทบทวน",IF(AND(S29="ต่ำ",P29="คง D2"),"ℹ เสี่ยงต่ำแต่เสนอคง D2 — อาจควบคุมเกินจำเป็น",IF(AND(P29="เปลี่ยนเป็นหน่วยงานผู้เชี่ยวชาญ",M29="No"),"⚠ เสนอโอน แต่ตอบว่ายังไม่มีผู้เชี่ยวชาญตรวจ",IF(AND(P29="เปลี่ยนเป็นหน่วยงานผู้เชี่ยวชาญ",Q29=""),"⚠ ยังไม่ระบุหน่วยงานผู้เชี่ยวชาญ","")))))</f>
        <v/>
      </c>
      <c r="U29" s="69">
        <f>IF(AND(P29="ตัด D2",ISNUMBER(D29),ISNUMBER(F29)),D29*F29,"")</f>
        <v/>
      </c>
      <c r="V29" s="73" t="n"/>
      <c r="W29" s="70">
        <f>IF(C29="","",IF(AND(ISNUMBER(D29),D29=0),"✔ ไม่เคยทำ (ข้าม)",IF(COUNTA(D29:P29)=0,"○ ยังไม่เริ่ม",IF(IF(D29="","จำนวน/ปี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","")="","✔ ครบ","⏳ ขาด: "&amp;TRIM(IF(D29="","จำนวน/ปี ","")&amp;IF(E29="","ระยะเวลา ","")&amp;IF(F29="","D2ใช้(วัน) ","")&amp;IF(G29="","งบ ","")&amp;IF(H29="","อัตรากำลัง ","")&amp;IF(I29="","กฎหมาย ","")&amp;IF(J29="","ทรัพย์สิน ","")&amp;IF(K29="","ชื่อเสียง ","")&amp;IF(L29="","นโยบาย ","")&amp;IF(M29="","ผู้เชี่ยวชาญตรวจ ","")&amp;IF(N29="","D2เพิ่มคุณค่า ","")&amp;IF(O29="","D2ตีกลับ ","")&amp;IF(P29="","ข้อเสนอ ","")&amp;IF(AND(P29="เปลี่ยนเป็นหน่วยงานผู้เชี่ยวชาญ",Q29=""),"หน่วยงานผู้เชี่ยวชาญ ",""))))))</f>
        <v/>
      </c>
    </row>
    <row r="30">
      <c r="A30" s="69" t="n">
        <v>24</v>
      </c>
      <c r="B30" s="70" t="inlineStr">
        <is>
          <t>โครงการและกิจกรรม</t>
        </is>
      </c>
      <c r="C30" s="71" t="inlineStr">
        <is>
          <t>โครงการนอกแผน</t>
        </is>
      </c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69">
        <f>IF(COUNTA(G30:I30,M30)&lt;4,"",Settings!$C$5*(G30="Yes")+Settings!$C$6*(H30="Yes")+Settings!$C$7*(I30="Yes")+Settings!$C$8*(M30="No"))</f>
        <v/>
      </c>
      <c r="S30" s="69">
        <f>IF(R30="","",IF(R30&gt;=Settings!$C$13,"สูง",IF(R30&gt;=Settings!$C$12,"ปานกลาง","ต่ำ")))</f>
        <v/>
      </c>
      <c r="T30" s="70">
        <f>IF(OR(S30="",P30=""),"",IF(AND(S30="สูง",P30="ตัด D2"),"⚠ เสี่ยงสูงแต่เสนอตัด D2 — ควรทบทวน",IF(AND(S30="ต่ำ",P30="คง D2"),"ℹ เสี่ยงต่ำแต่เสนอคง D2 — อาจควบคุมเกินจำเป็น",IF(AND(P30="เปลี่ยนเป็นหน่วยงานผู้เชี่ยวชาญ",M30="No"),"⚠ เสนอโอน แต่ตอบว่ายังไม่มีผู้เชี่ยวชาญตรวจ",IF(AND(P30="เปลี่ยนเป็นหน่วยงานผู้เชี่ยวชาญ",Q30=""),"⚠ ยังไม่ระบุหน่วยงานผู้เชี่ยวชาญ","")))))</f>
        <v/>
      </c>
      <c r="U30" s="69">
        <f>IF(AND(P30="ตัด D2",ISNUMBER(D30),ISNUMBER(F30)),D30*F30,"")</f>
        <v/>
      </c>
      <c r="V30" s="73" t="n"/>
      <c r="W30" s="70">
        <f>IF(C30="","",IF(AND(ISNUMBER(D30),D30=0),"✔ ไม่เคยทำ (ข้าม)",IF(COUNTA(D30:P30)=0,"○ ยังไม่เริ่ม",IF(IF(D30="","จำนวน/ปี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","")="","✔ ครบ","⏳ ขาด: "&amp;TRIM(IF(D30="","จำนวน/ปี ","")&amp;IF(E30="","ระยะเวลา ","")&amp;IF(F30="","D2ใช้(วัน) ","")&amp;IF(G30="","งบ ","")&amp;IF(H30="","อัตรากำลัง ","")&amp;IF(I30="","กฎหมาย ","")&amp;IF(J30="","ทรัพย์สิน ","")&amp;IF(K30="","ชื่อเสียง ","")&amp;IF(L30="","นโยบาย ","")&amp;IF(M30="","ผู้เชี่ยวชาญตรวจ ","")&amp;IF(N30="","D2เพิ่มคุณค่า ","")&amp;IF(O30="","D2ตีกลับ ","")&amp;IF(P30="","ข้อเสนอ ","")&amp;IF(AND(P30="เปลี่ยนเป็นหน่วยงานผู้เชี่ยวชาญ",Q30=""),"หน่วยงานผู้เชี่ยวชาญ ",""))))))</f>
        <v/>
      </c>
    </row>
    <row r="31">
      <c r="A31" s="69" t="n">
        <v>25</v>
      </c>
      <c r="B31" s="70" t="inlineStr">
        <is>
          <t>HR: บริหารเวลาปฏิบัติงาน (บุคลากรสายสนับสนุน)</t>
        </is>
      </c>
      <c r="C31" s="71" t="inlineStr">
        <is>
          <t>ลาพักผ่อน</t>
        </is>
      </c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69">
        <f>IF(COUNTA(G31:I31,M31)&lt;4,"",Settings!$C$5*(G31="Yes")+Settings!$C$6*(H31="Yes")+Settings!$C$7*(I31="Yes")+Settings!$C$8*(M31="No"))</f>
        <v/>
      </c>
      <c r="S31" s="69">
        <f>IF(R31="","",IF(R31&gt;=Settings!$C$13,"สูง",IF(R31&gt;=Settings!$C$12,"ปานกลาง","ต่ำ")))</f>
        <v/>
      </c>
      <c r="T31" s="70">
        <f>IF(OR(S31="",P31=""),"",IF(AND(S31="สูง",P31="ตัด D2"),"⚠ เสี่ยงสูงแต่เสนอตัด D2 — ควรทบทวน",IF(AND(S31="ต่ำ",P31="คง D2"),"ℹ เสี่ยงต่ำแต่เสนอคง D2 — อาจควบคุมเกินจำเป็น",IF(AND(P31="เปลี่ยนเป็นหน่วยงานผู้เชี่ยวชาญ",M31="No"),"⚠ เสนอโอน แต่ตอบว่ายังไม่มีผู้เชี่ยวชาญตรวจ",IF(AND(P31="เปลี่ยนเป็นหน่วยงานผู้เชี่ยวชาญ",Q31=""),"⚠ ยังไม่ระบุหน่วยงานผู้เชี่ยวชาญ","")))))</f>
        <v/>
      </c>
      <c r="U31" s="69">
        <f>IF(AND(P31="ตัด D2",ISNUMBER(D31),ISNUMBER(F31)),D31*F31,"")</f>
        <v/>
      </c>
      <c r="V31" s="73" t="n"/>
      <c r="W31" s="70">
        <f>IF(C31="","",IF(AND(ISNUMBER(D31),D31=0),"✔ ไม่เคยทำ (ข้าม)",IF(COUNTA(D31:P31)=0,"○ ยังไม่เริ่ม",IF(IF(D31="","จำนวน/ปี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","")="","✔ ครบ","⏳ ขาด: "&amp;TRIM(IF(D31="","จำนวน/ปี ","")&amp;IF(E31="","ระยะเวลา ","")&amp;IF(F31="","D2ใช้(วัน) ","")&amp;IF(G31="","งบ ","")&amp;IF(H31="","อัตรากำลัง ","")&amp;IF(I31="","กฎหมาย ","")&amp;IF(J31="","ทรัพย์สิน ","")&amp;IF(K31="","ชื่อเสียง ","")&amp;IF(L31="","นโยบาย ","")&amp;IF(M31="","ผู้เชี่ยวชาญตรวจ ","")&amp;IF(N31="","D2เพิ่มคุณค่า ","")&amp;IF(O31="","D2ตีกลับ ","")&amp;IF(P31="","ข้อเสนอ ","")&amp;IF(AND(P31="เปลี่ยนเป็นหน่วยงานผู้เชี่ยวชาญ",Q31=""),"หน่วยงานผู้เชี่ยวชาญ ",""))))))</f>
        <v/>
      </c>
    </row>
    <row r="32">
      <c r="A32" s="69" t="n">
        <v>26</v>
      </c>
      <c r="B32" s="70" t="inlineStr">
        <is>
          <t>HR: บริหารเวลาปฏิบัติงาน (บุคลากรสายสนับสนุน)</t>
        </is>
      </c>
      <c r="C32" s="71" t="inlineStr">
        <is>
          <t>ลาป่วย</t>
        </is>
      </c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69">
        <f>IF(COUNTA(G32:I32,M32)&lt;4,"",Settings!$C$5*(G32="Yes")+Settings!$C$6*(H32="Yes")+Settings!$C$7*(I32="Yes")+Settings!$C$8*(M32="No"))</f>
        <v/>
      </c>
      <c r="S32" s="69">
        <f>IF(R32="","",IF(R32&gt;=Settings!$C$13,"สูง",IF(R32&gt;=Settings!$C$12,"ปานกลาง","ต่ำ")))</f>
        <v/>
      </c>
      <c r="T32" s="70">
        <f>IF(OR(S32="",P32=""),"",IF(AND(S32="สูง",P32="ตัด D2"),"⚠ เสี่ยงสูงแต่เสนอตัด D2 — ควรทบทวน",IF(AND(S32="ต่ำ",P32="คง D2"),"ℹ เสี่ยงต่ำแต่เสนอคง D2 — อาจควบคุมเกินจำเป็น",IF(AND(P32="เปลี่ยนเป็นหน่วยงานผู้เชี่ยวชาญ",M32="No"),"⚠ เสนอโอน แต่ตอบว่ายังไม่มีผู้เชี่ยวชาญตรวจ",IF(AND(P32="เปลี่ยนเป็นหน่วยงานผู้เชี่ยวชาญ",Q32=""),"⚠ ยังไม่ระบุหน่วยงานผู้เชี่ยวชาญ","")))))</f>
        <v/>
      </c>
      <c r="U32" s="69">
        <f>IF(AND(P32="ตัด D2",ISNUMBER(D32),ISNUMBER(F32)),D32*F32,"")</f>
        <v/>
      </c>
      <c r="V32" s="73" t="n"/>
      <c r="W32" s="70">
        <f>IF(C32="","",IF(AND(ISNUMBER(D32),D32=0),"✔ ไม่เคยทำ (ข้าม)",IF(COUNTA(D32:P32)=0,"○ ยังไม่เริ่ม",IF(IF(D32="","จำนวน/ปี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","")="","✔ ครบ","⏳ ขาด: "&amp;TRIM(IF(D32="","จำนวน/ปี ","")&amp;IF(E32="","ระยะเวลา ","")&amp;IF(F32="","D2ใช้(วัน) ","")&amp;IF(G32="","งบ ","")&amp;IF(H32="","อัตรากำลัง ","")&amp;IF(I32="","กฎหมาย ","")&amp;IF(J32="","ทรัพย์สิน ","")&amp;IF(K32="","ชื่อเสียง ","")&amp;IF(L32="","นโยบาย ","")&amp;IF(M32="","ผู้เชี่ยวชาญตรวจ ","")&amp;IF(N32="","D2เพิ่มคุณค่า ","")&amp;IF(O32="","D2ตีกลับ ","")&amp;IF(P32="","ข้อเสนอ ","")&amp;IF(AND(P32="เปลี่ยนเป็นหน่วยงานผู้เชี่ยวชาญ",Q32=""),"หน่วยงานผู้เชี่ยวชาญ ",""))))))</f>
        <v/>
      </c>
    </row>
    <row r="33">
      <c r="A33" s="69" t="n">
        <v>27</v>
      </c>
      <c r="B33" s="70" t="inlineStr">
        <is>
          <t>HR: บริหารเวลาปฏิบัติงาน (บุคลากรสายสนับสนุน)</t>
        </is>
      </c>
      <c r="C33" s="71" t="inlineStr">
        <is>
          <t>ลากิจ</t>
        </is>
      </c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69">
        <f>IF(COUNTA(G33:I33,M33)&lt;4,"",Settings!$C$5*(G33="Yes")+Settings!$C$6*(H33="Yes")+Settings!$C$7*(I33="Yes")+Settings!$C$8*(M33="No"))</f>
        <v/>
      </c>
      <c r="S33" s="69">
        <f>IF(R33="","",IF(R33&gt;=Settings!$C$13,"สูง",IF(R33&gt;=Settings!$C$12,"ปานกลาง","ต่ำ")))</f>
        <v/>
      </c>
      <c r="T33" s="70">
        <f>IF(OR(S33="",P33=""),"",IF(AND(S33="สูง",P33="ตัด D2"),"⚠ เสี่ยงสูงแต่เสนอตัด D2 — ควรทบทวน",IF(AND(S33="ต่ำ",P33="คง D2"),"ℹ เสี่ยงต่ำแต่เสนอคง D2 — อาจควบคุมเกินจำเป็น",IF(AND(P33="เปลี่ยนเป็นหน่วยงานผู้เชี่ยวชาญ",M33="No"),"⚠ เสนอโอน แต่ตอบว่ายังไม่มีผู้เชี่ยวชาญตรวจ",IF(AND(P33="เปลี่ยนเป็นหน่วยงานผู้เชี่ยวชาญ",Q33=""),"⚠ ยังไม่ระบุหน่วยงานผู้เชี่ยวชาญ","")))))</f>
        <v/>
      </c>
      <c r="U33" s="69">
        <f>IF(AND(P33="ตัด D2",ISNUMBER(D33),ISNUMBER(F33)),D33*F33,"")</f>
        <v/>
      </c>
      <c r="V33" s="73" t="n"/>
      <c r="W33" s="70">
        <f>IF(C33="","",IF(AND(ISNUMBER(D33),D33=0),"✔ ไม่เคยทำ (ข้าม)",IF(COUNTA(D33:P33)=0,"○ ยังไม่เริ่ม",IF(IF(D33="","จำนวน/ปี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","")="","✔ ครบ","⏳ ขาด: "&amp;TRIM(IF(D33="","จำนวน/ปี ","")&amp;IF(E33="","ระยะเวลา ","")&amp;IF(F33="","D2ใช้(วัน) ","")&amp;IF(G33="","งบ ","")&amp;IF(H33="","อัตรากำลัง ","")&amp;IF(I33="","กฎหมาย ","")&amp;IF(J33="","ทรัพย์สิน ","")&amp;IF(K33="","ชื่อเสียง ","")&amp;IF(L33="","นโยบาย ","")&amp;IF(M33="","ผู้เชี่ยวชาญตรวจ ","")&amp;IF(N33="","D2เพิ่มคุณค่า ","")&amp;IF(O33="","D2ตีกลับ ","")&amp;IF(P33="","ข้อเสนอ ","")&amp;IF(AND(P33="เปลี่ยนเป็นหน่วยงานผู้เชี่ยวชาญ",Q33=""),"หน่วยงานผู้เชี่ยวชาญ ",""))))))</f>
        <v/>
      </c>
    </row>
    <row r="34">
      <c r="A34" s="69" t="n">
        <v>28</v>
      </c>
      <c r="B34" s="70" t="inlineStr">
        <is>
          <t>HR: บริหารเวลาปฏิบัติงาน (บุคลากรสายสนับสนุน)</t>
        </is>
      </c>
      <c r="C34" s="71" t="inlineStr">
        <is>
          <t>ลาคลอด</t>
        </is>
      </c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69">
        <f>IF(COUNTA(G34:I34,M34)&lt;4,"",Settings!$C$5*(G34="Yes")+Settings!$C$6*(H34="Yes")+Settings!$C$7*(I34="Yes")+Settings!$C$8*(M34="No"))</f>
        <v/>
      </c>
      <c r="S34" s="69">
        <f>IF(R34="","",IF(R34&gt;=Settings!$C$13,"สูง",IF(R34&gt;=Settings!$C$12,"ปานกลาง","ต่ำ")))</f>
        <v/>
      </c>
      <c r="T34" s="70">
        <f>IF(OR(S34="",P34=""),"",IF(AND(S34="สูง",P34="ตัด D2"),"⚠ เสี่ยงสูงแต่เสนอตัด D2 — ควรทบทวน",IF(AND(S34="ต่ำ",P34="คง D2"),"ℹ เสี่ยงต่ำแต่เสนอคง D2 — อาจควบคุมเกินจำเป็น",IF(AND(P34="เปลี่ยนเป็นหน่วยงานผู้เชี่ยวชาญ",M34="No"),"⚠ เสนอโอน แต่ตอบว่ายังไม่มีผู้เชี่ยวชาญตรวจ",IF(AND(P34="เปลี่ยนเป็นหน่วยงานผู้เชี่ยวชาญ",Q34=""),"⚠ ยังไม่ระบุหน่วยงานผู้เชี่ยวชาญ","")))))</f>
        <v/>
      </c>
      <c r="U34" s="69">
        <f>IF(AND(P34="ตัด D2",ISNUMBER(D34),ISNUMBER(F34)),D34*F34,"")</f>
        <v/>
      </c>
      <c r="V34" s="73" t="n"/>
      <c r="W34" s="70">
        <f>IF(C34="","",IF(AND(ISNUMBER(D34),D34=0),"✔ ไม่เคยทำ (ข้าม)",IF(COUNTA(D34:P34)=0,"○ ยังไม่เริ่ม",IF(IF(D34="","จำนวน/ปี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","")="","✔ ครบ","⏳ ขาด: "&amp;TRIM(IF(D34="","จำนวน/ปี ","")&amp;IF(E34="","ระยะเวลา ","")&amp;IF(F34="","D2ใช้(วัน) ","")&amp;IF(G34="","งบ ","")&amp;IF(H34="","อัตรากำลัง ","")&amp;IF(I34="","กฎหมาย ","")&amp;IF(J34="","ทรัพย์สิน ","")&amp;IF(K34="","ชื่อเสียง ","")&amp;IF(L34="","นโยบาย ","")&amp;IF(M34="","ผู้เชี่ยวชาญตรวจ ","")&amp;IF(N34="","D2เพิ่มคุณค่า ","")&amp;IF(O34="","D2ตีกลับ ","")&amp;IF(P34="","ข้อเสนอ ","")&amp;IF(AND(P34="เปลี่ยนเป็นหน่วยงานผู้เชี่ยวชาญ",Q34=""),"หน่วยงานผู้เชี่ยวชาญ ",""))))))</f>
        <v/>
      </c>
    </row>
    <row r="35">
      <c r="A35" s="69" t="n">
        <v>29</v>
      </c>
      <c r="B35" s="70" t="inlineStr">
        <is>
          <t>HR: บริหารเวลาปฏิบัติงาน (บุคลากรสายสนับสนุน)</t>
        </is>
      </c>
      <c r="C35" s="71" t="inlineStr">
        <is>
          <t>ลาอุปสมบท</t>
        </is>
      </c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69">
        <f>IF(COUNTA(G35:I35,M35)&lt;4,"",Settings!$C$5*(G35="Yes")+Settings!$C$6*(H35="Yes")+Settings!$C$7*(I35="Yes")+Settings!$C$8*(M35="No"))</f>
        <v/>
      </c>
      <c r="S35" s="69">
        <f>IF(R35="","",IF(R35&gt;=Settings!$C$13,"สูง",IF(R35&gt;=Settings!$C$12,"ปานกลาง","ต่ำ")))</f>
        <v/>
      </c>
      <c r="T35" s="70">
        <f>IF(OR(S35="",P35=""),"",IF(AND(S35="สูง",P35="ตัด D2"),"⚠ เสี่ยงสูงแต่เสนอตัด D2 — ควรทบทวน",IF(AND(S35="ต่ำ",P35="คง D2"),"ℹ เสี่ยงต่ำแต่เสนอคง D2 — อาจควบคุมเกินจำเป็น",IF(AND(P35="เปลี่ยนเป็นหน่วยงานผู้เชี่ยวชาญ",M35="No"),"⚠ เสนอโอน แต่ตอบว่ายังไม่มีผู้เชี่ยวชาญตรวจ",IF(AND(P35="เปลี่ยนเป็นหน่วยงานผู้เชี่ยวชาญ",Q35=""),"⚠ ยังไม่ระบุหน่วยงานผู้เชี่ยวชาญ","")))))</f>
        <v/>
      </c>
      <c r="U35" s="69">
        <f>IF(AND(P35="ตัด D2",ISNUMBER(D35),ISNUMBER(F35)),D35*F35,"")</f>
        <v/>
      </c>
      <c r="V35" s="73" t="n"/>
      <c r="W35" s="70">
        <f>IF(C35="","",IF(AND(ISNUMBER(D35),D35=0),"✔ ไม่เคยทำ (ข้าม)",IF(COUNTA(D35:P35)=0,"○ ยังไม่เริ่ม",IF(IF(D35="","จำนวน/ปี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","")="","✔ ครบ","⏳ ขาด: "&amp;TRIM(IF(D35="","จำนวน/ปี ","")&amp;IF(E35="","ระยะเวลา ","")&amp;IF(F35="","D2ใช้(วัน) ","")&amp;IF(G35="","งบ ","")&amp;IF(H35="","อัตรากำลัง ","")&amp;IF(I35="","กฎหมาย ","")&amp;IF(J35="","ทรัพย์สิน ","")&amp;IF(K35="","ชื่อเสียง ","")&amp;IF(L35="","นโยบาย ","")&amp;IF(M35="","ผู้เชี่ยวชาญตรวจ ","")&amp;IF(N35="","D2เพิ่มคุณค่า ","")&amp;IF(O35="","D2ตีกลับ ","")&amp;IF(P35="","ข้อเสนอ ","")&amp;IF(AND(P35="เปลี่ยนเป็นหน่วยงานผู้เชี่ยวชาญ",Q35=""),"หน่วยงานผู้เชี่ยวชาญ ",""))))))</f>
        <v/>
      </c>
    </row>
    <row r="36">
      <c r="A36" s="69" t="n">
        <v>30</v>
      </c>
      <c r="B36" s="70" t="inlineStr">
        <is>
          <t>HR: บริหารเวลาปฏิบัติงาน (บุคลากรสายสนับสนุน)</t>
        </is>
      </c>
      <c r="C36" s="71" t="inlineStr">
        <is>
          <t>ลาไปช่วยเหลือภริยาคลอดบุตร</t>
        </is>
      </c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69">
        <f>IF(COUNTA(G36:I36,M36)&lt;4,"",Settings!$C$5*(G36="Yes")+Settings!$C$6*(H36="Yes")+Settings!$C$7*(I36="Yes")+Settings!$C$8*(M36="No"))</f>
        <v/>
      </c>
      <c r="S36" s="69">
        <f>IF(R36="","",IF(R36&gt;=Settings!$C$13,"สูง",IF(R36&gt;=Settings!$C$12,"ปานกลาง","ต่ำ")))</f>
        <v/>
      </c>
      <c r="T36" s="70">
        <f>IF(OR(S36="",P36=""),"",IF(AND(S36="สูง",P36="ตัด D2"),"⚠ เสี่ยงสูงแต่เสนอตัด D2 — ควรทบทวน",IF(AND(S36="ต่ำ",P36="คง D2"),"ℹ เสี่ยงต่ำแต่เสนอคง D2 — อาจควบคุมเกินจำเป็น",IF(AND(P36="เปลี่ยนเป็นหน่วยงานผู้เชี่ยวชาญ",M36="No"),"⚠ เสนอโอน แต่ตอบว่ายังไม่มีผู้เชี่ยวชาญตรวจ",IF(AND(P36="เปลี่ยนเป็นหน่วยงานผู้เชี่ยวชาญ",Q36=""),"⚠ ยังไม่ระบุหน่วยงานผู้เชี่ยวชาญ","")))))</f>
        <v/>
      </c>
      <c r="U36" s="69">
        <f>IF(AND(P36="ตัด D2",ISNUMBER(D36),ISNUMBER(F36)),D36*F36,"")</f>
        <v/>
      </c>
      <c r="V36" s="73" t="n"/>
      <c r="W36" s="70">
        <f>IF(C36="","",IF(AND(ISNUMBER(D36),D36=0),"✔ ไม่เคยทำ (ข้าม)",IF(COUNTA(D36:P36)=0,"○ ยังไม่เริ่ม",IF(IF(D36="","จำนวน/ปี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","")="","✔ ครบ","⏳ ขาด: "&amp;TRIM(IF(D36="","จำนวน/ปี ","")&amp;IF(E36="","ระยะเวลา ","")&amp;IF(F36="","D2ใช้(วัน) ","")&amp;IF(G36="","งบ ","")&amp;IF(H36="","อัตรากำลัง ","")&amp;IF(I36="","กฎหมาย ","")&amp;IF(J36="","ทรัพย์สิน ","")&amp;IF(K36="","ชื่อเสียง ","")&amp;IF(L36="","นโยบาย ","")&amp;IF(M36="","ผู้เชี่ยวชาญตรวจ ","")&amp;IF(N36="","D2เพิ่มคุณค่า ","")&amp;IF(O36="","D2ตีกลับ ","")&amp;IF(P36="","ข้อเสนอ ","")&amp;IF(AND(P36="เปลี่ยนเป็นหน่วยงานผู้เชี่ยวชาญ",Q36=""),"หน่วยงานผู้เชี่ยวชาญ ",""))))))</f>
        <v/>
      </c>
    </row>
    <row r="37">
      <c r="A37" s="69" t="n">
        <v>31</v>
      </c>
      <c r="B37" s="70" t="inlineStr">
        <is>
          <t>HR: บริหารเวลาปฏิบัติงาน (บุคลากรสายสนับสนุน)</t>
        </is>
      </c>
      <c r="C37" s="71" t="inlineStr">
        <is>
          <t>ปฏิบัติงานนอกสถานที่</t>
        </is>
      </c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69">
        <f>IF(COUNTA(G37:I37,M37)&lt;4,"",Settings!$C$5*(G37="Yes")+Settings!$C$6*(H37="Yes")+Settings!$C$7*(I37="Yes")+Settings!$C$8*(M37="No"))</f>
        <v/>
      </c>
      <c r="S37" s="69">
        <f>IF(R37="","",IF(R37&gt;=Settings!$C$13,"สูง",IF(R37&gt;=Settings!$C$12,"ปานกลาง","ต่ำ")))</f>
        <v/>
      </c>
      <c r="T37" s="70">
        <f>IF(OR(S37="",P37=""),"",IF(AND(S37="สูง",P37="ตัด D2"),"⚠ เสี่ยงสูงแต่เสนอตัด D2 — ควรทบทวน",IF(AND(S37="ต่ำ",P37="คง D2"),"ℹ เสี่ยงต่ำแต่เสนอคง D2 — อาจควบคุมเกินจำเป็น",IF(AND(P37="เปลี่ยนเป็นหน่วยงานผู้เชี่ยวชาญ",M37="No"),"⚠ เสนอโอน แต่ตอบว่ายังไม่มีผู้เชี่ยวชาญตรวจ",IF(AND(P37="เปลี่ยนเป็นหน่วยงานผู้เชี่ยวชาญ",Q37=""),"⚠ ยังไม่ระบุหน่วยงานผู้เชี่ยวชาญ","")))))</f>
        <v/>
      </c>
      <c r="U37" s="69">
        <f>IF(AND(P37="ตัด D2",ISNUMBER(D37),ISNUMBER(F37)),D37*F37,"")</f>
        <v/>
      </c>
      <c r="V37" s="73" t="n"/>
      <c r="W37" s="70">
        <f>IF(C37="","",IF(AND(ISNUMBER(D37),D37=0),"✔ ไม่เคยทำ (ข้าม)",IF(COUNTA(D37:P37)=0,"○ ยังไม่เริ่ม",IF(IF(D37="","จำนวน/ปี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","")="","✔ ครบ","⏳ ขาด: "&amp;TRIM(IF(D37="","จำนวน/ปี ","")&amp;IF(E37="","ระยะเวลา ","")&amp;IF(F37="","D2ใช้(วัน) ","")&amp;IF(G37="","งบ ","")&amp;IF(H37="","อัตรากำลัง ","")&amp;IF(I37="","กฎหมาย ","")&amp;IF(J37="","ทรัพย์สิน ","")&amp;IF(K37="","ชื่อเสียง ","")&amp;IF(L37="","นโยบาย ","")&amp;IF(M37="","ผู้เชี่ยวชาญตรวจ ","")&amp;IF(N37="","D2เพิ่มคุณค่า ","")&amp;IF(O37="","D2ตีกลับ ","")&amp;IF(P37="","ข้อเสนอ ","")&amp;IF(AND(P37="เปลี่ยนเป็นหน่วยงานผู้เชี่ยวชาญ",Q37=""),"หน่วยงานผู้เชี่ยวชาญ ",""))))))</f>
        <v/>
      </c>
    </row>
    <row r="38">
      <c r="A38" s="69" t="n">
        <v>32</v>
      </c>
      <c r="B38" s="70" t="inlineStr">
        <is>
          <t>HR: พัฒนาบุคลากร</t>
        </is>
      </c>
      <c r="C38" s="71" t="inlineStr">
        <is>
          <t>อบรมในประเทศ/ประชุมวิชาการ/สัมมนา/ศึกษาดูงานในประเทศ</t>
        </is>
      </c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69">
        <f>IF(COUNTA(G38:I38,M38)&lt;4,"",Settings!$C$5*(G38="Yes")+Settings!$C$6*(H38="Yes")+Settings!$C$7*(I38="Yes")+Settings!$C$8*(M38="No"))</f>
        <v/>
      </c>
      <c r="S38" s="69">
        <f>IF(R38="","",IF(R38&gt;=Settings!$C$13,"สูง",IF(R38&gt;=Settings!$C$12,"ปานกลาง","ต่ำ")))</f>
        <v/>
      </c>
      <c r="T38" s="70">
        <f>IF(OR(S38="",P38=""),"",IF(AND(S38="สูง",P38="ตัด D2"),"⚠ เสี่ยงสูงแต่เสนอตัด D2 — ควรทบทวน",IF(AND(S38="ต่ำ",P38="คง D2"),"ℹ เสี่ยงต่ำแต่เสนอคง D2 — อาจควบคุมเกินจำเป็น",IF(AND(P38="เปลี่ยนเป็นหน่วยงานผู้เชี่ยวชาญ",M38="No"),"⚠ เสนอโอน แต่ตอบว่ายังไม่มีผู้เชี่ยวชาญตรวจ",IF(AND(P38="เปลี่ยนเป็นหน่วยงานผู้เชี่ยวชาญ",Q38=""),"⚠ ยังไม่ระบุหน่วยงานผู้เชี่ยวชาญ","")))))</f>
        <v/>
      </c>
      <c r="U38" s="69">
        <f>IF(AND(P38="ตัด D2",ISNUMBER(D38),ISNUMBER(F38)),D38*F38,"")</f>
        <v/>
      </c>
      <c r="V38" s="73" t="n"/>
      <c r="W38" s="70">
        <f>IF(C38="","",IF(AND(ISNUMBER(D38),D38=0),"✔ ไม่เคยทำ (ข้าม)",IF(COUNTA(D38:P38)=0,"○ ยังไม่เริ่ม",IF(IF(D38="","จำนวน/ปี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","")="","✔ ครบ","⏳ ขาด: "&amp;TRIM(IF(D38="","จำนวน/ปี ","")&amp;IF(E38="","ระยะเวลา ","")&amp;IF(F38="","D2ใช้(วัน) ","")&amp;IF(G38="","งบ ","")&amp;IF(H38="","อัตรากำลัง ","")&amp;IF(I38="","กฎหมาย ","")&amp;IF(J38="","ทรัพย์สิน ","")&amp;IF(K38="","ชื่อเสียง ","")&amp;IF(L38="","นโยบาย ","")&amp;IF(M38="","ผู้เชี่ยวชาญตรวจ ","")&amp;IF(N38="","D2เพิ่มคุณค่า ","")&amp;IF(O38="","D2ตีกลับ ","")&amp;IF(P38="","ข้อเสนอ ","")&amp;IF(AND(P38="เปลี่ยนเป็นหน่วยงานผู้เชี่ยวชาญ",Q38=""),"หน่วยงานผู้เชี่ยวชาญ ",""))))))</f>
        <v/>
      </c>
    </row>
    <row r="39">
      <c r="A39" s="69" t="n">
        <v>33</v>
      </c>
      <c r="B39" s="70" t="inlineStr">
        <is>
          <t>HR: พัฒนาบุคลากร</t>
        </is>
      </c>
      <c r="C39" s="71" t="inlineStr">
        <is>
          <t>เข้าร่วมโครงการแลกเปลี่ยนระยะสั้น/ศึกษาดูงาน/อบรมต่างประเทศ/ศึกษาต่อ</t>
        </is>
      </c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69">
        <f>IF(COUNTA(G39:I39,M39)&lt;4,"",Settings!$C$5*(G39="Yes")+Settings!$C$6*(H39="Yes")+Settings!$C$7*(I39="Yes")+Settings!$C$8*(M39="No"))</f>
        <v/>
      </c>
      <c r="S39" s="69">
        <f>IF(R39="","",IF(R39&gt;=Settings!$C$13,"สูง",IF(R39&gt;=Settings!$C$12,"ปานกลาง","ต่ำ")))</f>
        <v/>
      </c>
      <c r="T39" s="70">
        <f>IF(OR(S39="",P39=""),"",IF(AND(S39="สูง",P39="ตัด D2"),"⚠ เสี่ยงสูงแต่เสนอตัด D2 — ควรทบทวน",IF(AND(S39="ต่ำ",P39="คง D2"),"ℹ เสี่ยงต่ำแต่เสนอคง D2 — อาจควบคุมเกินจำเป็น",IF(AND(P39="เปลี่ยนเป็นหน่วยงานผู้เชี่ยวชาญ",M39="No"),"⚠ เสนอโอน แต่ตอบว่ายังไม่มีผู้เชี่ยวชาญตรวจ",IF(AND(P39="เปลี่ยนเป็นหน่วยงานผู้เชี่ยวชาญ",Q39=""),"⚠ ยังไม่ระบุหน่วยงานผู้เชี่ยวชาญ","")))))</f>
        <v/>
      </c>
      <c r="U39" s="69">
        <f>IF(AND(P39="ตัด D2",ISNUMBER(D39),ISNUMBER(F39)),D39*F39,"")</f>
        <v/>
      </c>
      <c r="V39" s="73" t="n"/>
      <c r="W39" s="70">
        <f>IF(C39="","",IF(AND(ISNUMBER(D39),D39=0),"✔ ไม่เคยทำ (ข้าม)",IF(COUNTA(D39:P39)=0,"○ ยังไม่เริ่ม",IF(IF(D39="","จำนวน/ปี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","")="","✔ ครบ","⏳ ขาด: "&amp;TRIM(IF(D39="","จำนวน/ปี ","")&amp;IF(E39="","ระยะเวลา ","")&amp;IF(F39="","D2ใช้(วัน) ","")&amp;IF(G39="","งบ ","")&amp;IF(H39="","อัตรากำลัง ","")&amp;IF(I39="","กฎหมาย ","")&amp;IF(J39="","ทรัพย์สิน ","")&amp;IF(K39="","ชื่อเสียง ","")&amp;IF(L39="","นโยบาย ","")&amp;IF(M39="","ผู้เชี่ยวชาญตรวจ ","")&amp;IF(N39="","D2เพิ่มคุณค่า ","")&amp;IF(O39="","D2ตีกลับ ","")&amp;IF(P39="","ข้อเสนอ ","")&amp;IF(AND(P39="เปลี่ยนเป็นหน่วยงานผู้เชี่ยวชาญ",Q39=""),"หน่วยงานผู้เชี่ยวชาญ ",""))))))</f>
        <v/>
      </c>
    </row>
    <row r="40">
      <c r="A40" s="69" t="n">
        <v>34</v>
      </c>
      <c r="B40" s="70" t="inlineStr">
        <is>
          <t>HR: อัตรากำลังและสรรหา</t>
        </is>
      </c>
      <c r="C40" s="71" t="inlineStr">
        <is>
          <t>ขอทดแทนอัตราว่าง</t>
        </is>
      </c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69">
        <f>IF(COUNTA(G40:I40,M40)&lt;4,"",Settings!$C$5*(G40="Yes")+Settings!$C$6*(H40="Yes")+Settings!$C$7*(I40="Yes")+Settings!$C$8*(M40="No"))</f>
        <v/>
      </c>
      <c r="S40" s="69">
        <f>IF(R40="","",IF(R40&gt;=Settings!$C$13,"สูง",IF(R40&gt;=Settings!$C$12,"ปานกลาง","ต่ำ")))</f>
        <v/>
      </c>
      <c r="T40" s="70">
        <f>IF(OR(S40="",P40=""),"",IF(AND(S40="สูง",P40="ตัด D2"),"⚠ เสี่ยงสูงแต่เสนอตัด D2 — ควรทบทวน",IF(AND(S40="ต่ำ",P40="คง D2"),"ℹ เสี่ยงต่ำแต่เสนอคง D2 — อาจควบคุมเกินจำเป็น",IF(AND(P40="เปลี่ยนเป็นหน่วยงานผู้เชี่ยวชาญ",M40="No"),"⚠ เสนอโอน แต่ตอบว่ายังไม่มีผู้เชี่ยวชาญตรวจ",IF(AND(P40="เปลี่ยนเป็นหน่วยงานผู้เชี่ยวชาญ",Q40=""),"⚠ ยังไม่ระบุหน่วยงานผู้เชี่ยวชาญ","")))))</f>
        <v/>
      </c>
      <c r="U40" s="69">
        <f>IF(AND(P40="ตัด D2",ISNUMBER(D40),ISNUMBER(F40)),D40*F40,"")</f>
        <v/>
      </c>
      <c r="V40" s="73" t="n"/>
      <c r="W40" s="70">
        <f>IF(C40="","",IF(AND(ISNUMBER(D40),D40=0),"✔ ไม่เคยทำ (ข้าม)",IF(COUNTA(D40:P40)=0,"○ ยังไม่เริ่ม",IF(IF(D40="","จำนวน/ปี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","")="","✔ ครบ","⏳ ขาด: "&amp;TRIM(IF(D40="","จำนวน/ปี ","")&amp;IF(E40="","ระยะเวลา ","")&amp;IF(F40="","D2ใช้(วัน) ","")&amp;IF(G40="","งบ ","")&amp;IF(H40="","อัตรากำลัง ","")&amp;IF(I40="","กฎหมาย ","")&amp;IF(J40="","ทรัพย์สิน ","")&amp;IF(K40="","ชื่อเสียง ","")&amp;IF(L40="","นโยบาย ","")&amp;IF(M40="","ผู้เชี่ยวชาญตรวจ ","")&amp;IF(N40="","D2เพิ่มคุณค่า ","")&amp;IF(O40="","D2ตีกลับ ","")&amp;IF(P40="","ข้อเสนอ ","")&amp;IF(AND(P40="เปลี่ยนเป็นหน่วยงานผู้เชี่ยวชาญ",Q40=""),"หน่วยงานผู้เชี่ยวชาญ ",""))))))</f>
        <v/>
      </c>
    </row>
    <row r="41">
      <c r="A41" s="69" t="n">
        <v>35</v>
      </c>
      <c r="B41" s="70" t="inlineStr">
        <is>
          <t>HR: อัตรากำลังและสรรหา</t>
        </is>
      </c>
      <c r="C41" s="71" t="inlineStr">
        <is>
          <t>ขอกรอบอัตรากำลังใหม่</t>
        </is>
      </c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69">
        <f>IF(COUNTA(G41:I41,M41)&lt;4,"",Settings!$C$5*(G41="Yes")+Settings!$C$6*(H41="Yes")+Settings!$C$7*(I41="Yes")+Settings!$C$8*(M41="No"))</f>
        <v/>
      </c>
      <c r="S41" s="69">
        <f>IF(R41="","",IF(R41&gt;=Settings!$C$13,"สูง",IF(R41&gt;=Settings!$C$12,"ปานกลาง","ต่ำ")))</f>
        <v/>
      </c>
      <c r="T41" s="70">
        <f>IF(OR(S41="",P41=""),"",IF(AND(S41="สูง",P41="ตัด D2"),"⚠ เสี่ยงสูงแต่เสนอตัด D2 — ควรทบทวน",IF(AND(S41="ต่ำ",P41="คง D2"),"ℹ เสี่ยงต่ำแต่เสนอคง D2 — อาจควบคุมเกินจำเป็น",IF(AND(P41="เปลี่ยนเป็นหน่วยงานผู้เชี่ยวชาญ",M41="No"),"⚠ เสนอโอน แต่ตอบว่ายังไม่มีผู้เชี่ยวชาญตรวจ",IF(AND(P41="เปลี่ยนเป็นหน่วยงานผู้เชี่ยวชาญ",Q41=""),"⚠ ยังไม่ระบุหน่วยงานผู้เชี่ยวชาญ","")))))</f>
        <v/>
      </c>
      <c r="U41" s="69">
        <f>IF(AND(P41="ตัด D2",ISNUMBER(D41),ISNUMBER(F41)),D41*F41,"")</f>
        <v/>
      </c>
      <c r="V41" s="73" t="n"/>
      <c r="W41" s="70">
        <f>IF(C41="","",IF(AND(ISNUMBER(D41),D41=0),"✔ ไม่เคยทำ (ข้าม)",IF(COUNTA(D41:P41)=0,"○ ยังไม่เริ่ม",IF(IF(D41="","จำนวน/ปี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","")="","✔ ครบ","⏳ ขาด: "&amp;TRIM(IF(D41="","จำนวน/ปี ","")&amp;IF(E41="","ระยะเวลา ","")&amp;IF(F41="","D2ใช้(วัน) ","")&amp;IF(G41="","งบ ","")&amp;IF(H41="","อัตรากำลัง ","")&amp;IF(I41="","กฎหมาย ","")&amp;IF(J41="","ทรัพย์สิน ","")&amp;IF(K41="","ชื่อเสียง ","")&amp;IF(L41="","นโยบาย ","")&amp;IF(M41="","ผู้เชี่ยวชาญตรวจ ","")&amp;IF(N41="","D2เพิ่มคุณค่า ","")&amp;IF(O41="","D2ตีกลับ ","")&amp;IF(P41="","ข้อเสนอ ","")&amp;IF(AND(P41="เปลี่ยนเป็นหน่วยงานผู้เชี่ยวชาญ",Q41=""),"หน่วยงานผู้เชี่ยวชาญ ",""))))))</f>
        <v/>
      </c>
    </row>
    <row r="42">
      <c r="A42" s="69" t="n">
        <v>36</v>
      </c>
      <c r="B42" s="70" t="inlineStr">
        <is>
          <t>HR: อัตรากำลังและสรรหา</t>
        </is>
      </c>
      <c r="C42" s="71" t="inlineStr">
        <is>
          <t>ขอจ้างพนักงานชั่วคราว</t>
        </is>
      </c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69">
        <f>IF(COUNTA(G42:I42,M42)&lt;4,"",Settings!$C$5*(G42="Yes")+Settings!$C$6*(H42="Yes")+Settings!$C$7*(I42="Yes")+Settings!$C$8*(M42="No"))</f>
        <v/>
      </c>
      <c r="S42" s="69">
        <f>IF(R42="","",IF(R42&gt;=Settings!$C$13,"สูง",IF(R42&gt;=Settings!$C$12,"ปานกลาง","ต่ำ")))</f>
        <v/>
      </c>
      <c r="T42" s="70">
        <f>IF(OR(S42="",P42=""),"",IF(AND(S42="สูง",P42="ตัด D2"),"⚠ เสี่ยงสูงแต่เสนอตัด D2 — ควรทบทวน",IF(AND(S42="ต่ำ",P42="คง D2"),"ℹ เสี่ยงต่ำแต่เสนอคง D2 — อาจควบคุมเกินจำเป็น",IF(AND(P42="เปลี่ยนเป็นหน่วยงานผู้เชี่ยวชาญ",M42="No"),"⚠ เสนอโอน แต่ตอบว่ายังไม่มีผู้เชี่ยวชาญตรวจ",IF(AND(P42="เปลี่ยนเป็นหน่วยงานผู้เชี่ยวชาญ",Q42=""),"⚠ ยังไม่ระบุหน่วยงานผู้เชี่ยวชาญ","")))))</f>
        <v/>
      </c>
      <c r="U42" s="69">
        <f>IF(AND(P42="ตัด D2",ISNUMBER(D42),ISNUMBER(F42)),D42*F42,"")</f>
        <v/>
      </c>
      <c r="V42" s="73" t="n"/>
      <c r="W42" s="70">
        <f>IF(C42="","",IF(AND(ISNUMBER(D42),D42=0),"✔ ไม่เคยทำ (ข้าม)",IF(COUNTA(D42:P42)=0,"○ ยังไม่เริ่ม",IF(IF(D42="","จำนวน/ปี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","")="","✔ ครบ","⏳ ขาด: "&amp;TRIM(IF(D42="","จำนวน/ปี ","")&amp;IF(E42="","ระยะเวลา ","")&amp;IF(F42="","D2ใช้(วัน) ","")&amp;IF(G42="","งบ ","")&amp;IF(H42="","อัตรากำลัง ","")&amp;IF(I42="","กฎหมาย ","")&amp;IF(J42="","ทรัพย์สิน ","")&amp;IF(K42="","ชื่อเสียง ","")&amp;IF(L42="","นโยบาย ","")&amp;IF(M42="","ผู้เชี่ยวชาญตรวจ ","")&amp;IF(N42="","D2เพิ่มคุณค่า ","")&amp;IF(O42="","D2ตีกลับ ","")&amp;IF(P42="","ข้อเสนอ ","")&amp;IF(AND(P42="เปลี่ยนเป็นหน่วยงานผู้เชี่ยวชาญ",Q42=""),"หน่วยงานผู้เชี่ยวชาญ ",""))))))</f>
        <v/>
      </c>
    </row>
    <row r="43">
      <c r="A43" s="69" t="n">
        <v>37</v>
      </c>
      <c r="B43" s="70" t="inlineStr">
        <is>
          <t>HR: อัตรากำลังและสรรหา</t>
        </is>
      </c>
      <c r="C43" s="71" t="inlineStr">
        <is>
          <t>ต่อสัญญาจ้าง</t>
        </is>
      </c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69">
        <f>IF(COUNTA(G43:I43,M43)&lt;4,"",Settings!$C$5*(G43="Yes")+Settings!$C$6*(H43="Yes")+Settings!$C$7*(I43="Yes")+Settings!$C$8*(M43="No"))</f>
        <v/>
      </c>
      <c r="S43" s="69">
        <f>IF(R43="","",IF(R43&gt;=Settings!$C$13,"สูง",IF(R43&gt;=Settings!$C$12,"ปานกลาง","ต่ำ")))</f>
        <v/>
      </c>
      <c r="T43" s="70">
        <f>IF(OR(S43="",P43=""),"",IF(AND(S43="สูง",P43="ตัด D2"),"⚠ เสี่ยงสูงแต่เสนอตัด D2 — ควรทบทวน",IF(AND(S43="ต่ำ",P43="คง D2"),"ℹ เสี่ยงต่ำแต่เสนอคง D2 — อาจควบคุมเกินจำเป็น",IF(AND(P43="เปลี่ยนเป็นหน่วยงานผู้เชี่ยวชาญ",M43="No"),"⚠ เสนอโอน แต่ตอบว่ายังไม่มีผู้เชี่ยวชาญตรวจ",IF(AND(P43="เปลี่ยนเป็นหน่วยงานผู้เชี่ยวชาญ",Q43=""),"⚠ ยังไม่ระบุหน่วยงานผู้เชี่ยวชาญ","")))))</f>
        <v/>
      </c>
      <c r="U43" s="69">
        <f>IF(AND(P43="ตัด D2",ISNUMBER(D43),ISNUMBER(F43)),D43*F43,"")</f>
        <v/>
      </c>
      <c r="V43" s="73" t="n"/>
      <c r="W43" s="70">
        <f>IF(C43="","",IF(AND(ISNUMBER(D43),D43=0),"✔ ไม่เคยทำ (ข้าม)",IF(COUNTA(D43:P43)=0,"○ ยังไม่เริ่ม",IF(IF(D43="","จำนวน/ปี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","")="","✔ ครบ","⏳ ขาด: "&amp;TRIM(IF(D43="","จำนวน/ปี ","")&amp;IF(E43="","ระยะเวลา ","")&amp;IF(F43="","D2ใช้(วัน) ","")&amp;IF(G43="","งบ ","")&amp;IF(H43="","อัตรากำลัง ","")&amp;IF(I43="","กฎหมาย ","")&amp;IF(J43="","ทรัพย์สิน ","")&amp;IF(K43="","ชื่อเสียง ","")&amp;IF(L43="","นโยบาย ","")&amp;IF(M43="","ผู้เชี่ยวชาญตรวจ ","")&amp;IF(N43="","D2เพิ่มคุณค่า ","")&amp;IF(O43="","D2ตีกลับ ","")&amp;IF(P43="","ข้อเสนอ ","")&amp;IF(AND(P43="เปลี่ยนเป็นหน่วยงานผู้เชี่ยวชาญ",Q43=""),"หน่วยงานผู้เชี่ยวชาญ ",""))))))</f>
        <v/>
      </c>
    </row>
    <row r="44">
      <c r="A44" s="69" t="n">
        <v>38</v>
      </c>
      <c r="B44" s="70" t="inlineStr">
        <is>
          <t>HR: อัตรากำลังและสรรหา</t>
        </is>
      </c>
      <c r="C44" s="71" t="inlineStr">
        <is>
          <t>กำหนดกรอบภาระงานใหม่</t>
        </is>
      </c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69">
        <f>IF(COUNTA(G44:I44,M44)&lt;4,"",Settings!$C$5*(G44="Yes")+Settings!$C$6*(H44="Yes")+Settings!$C$7*(I44="Yes")+Settings!$C$8*(M44="No"))</f>
        <v/>
      </c>
      <c r="S44" s="69">
        <f>IF(R44="","",IF(R44&gt;=Settings!$C$13,"สูง",IF(R44&gt;=Settings!$C$12,"ปานกลาง","ต่ำ")))</f>
        <v/>
      </c>
      <c r="T44" s="70">
        <f>IF(OR(S44="",P44=""),"",IF(AND(S44="สูง",P44="ตัด D2"),"⚠ เสี่ยงสูงแต่เสนอตัด D2 — ควรทบทวน",IF(AND(S44="ต่ำ",P44="คง D2"),"ℹ เสี่ยงต่ำแต่เสนอคง D2 — อาจควบคุมเกินจำเป็น",IF(AND(P44="เปลี่ยนเป็นหน่วยงานผู้เชี่ยวชาญ",M44="No"),"⚠ เสนอโอน แต่ตอบว่ายังไม่มีผู้เชี่ยวชาญตรวจ",IF(AND(P44="เปลี่ยนเป็นหน่วยงานผู้เชี่ยวชาญ",Q44=""),"⚠ ยังไม่ระบุหน่วยงานผู้เชี่ยวชาญ","")))))</f>
        <v/>
      </c>
      <c r="U44" s="69">
        <f>IF(AND(P44="ตัด D2",ISNUMBER(D44),ISNUMBER(F44)),D44*F44,"")</f>
        <v/>
      </c>
      <c r="V44" s="73" t="n"/>
      <c r="W44" s="70">
        <f>IF(C44="","",IF(AND(ISNUMBER(D44),D44=0),"✔ ไม่เคยทำ (ข้าม)",IF(COUNTA(D44:P44)=0,"○ ยังไม่เริ่ม",IF(IF(D44="","จำนวน/ปี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","")="","✔ ครบ","⏳ ขาด: "&amp;TRIM(IF(D44="","จำนวน/ปี ","")&amp;IF(E44="","ระยะเวลา ","")&amp;IF(F44="","D2ใช้(วัน) ","")&amp;IF(G44="","งบ ","")&amp;IF(H44="","อัตรากำลัง ","")&amp;IF(I44="","กฎหมาย ","")&amp;IF(J44="","ทรัพย์สิน ","")&amp;IF(K44="","ชื่อเสียง ","")&amp;IF(L44="","นโยบาย ","")&amp;IF(M44="","ผู้เชี่ยวชาญตรวจ ","")&amp;IF(N44="","D2เพิ่มคุณค่า ","")&amp;IF(O44="","D2ตีกลับ ","")&amp;IF(P44="","ข้อเสนอ ","")&amp;IF(AND(P44="เปลี่ยนเป็นหน่วยงานผู้เชี่ยวชาญ",Q44=""),"หน่วยงานผู้เชี่ยวชาญ ",""))))))</f>
        <v/>
      </c>
    </row>
    <row r="45">
      <c r="A45" s="69" t="n">
        <v>39</v>
      </c>
      <c r="B45" s="70" t="inlineStr">
        <is>
          <t>HR: วินัย ธรรมาภิบาล และข้อร้องเรียน</t>
        </is>
      </c>
      <c r="C45" s="71" t="inlineStr">
        <is>
          <t>ข้อร้องเรียนบุคลากร</t>
        </is>
      </c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69">
        <f>IF(COUNTA(G45:I45,M45)&lt;4,"",Settings!$C$5*(G45="Yes")+Settings!$C$6*(H45="Yes")+Settings!$C$7*(I45="Yes")+Settings!$C$8*(M45="No"))</f>
        <v/>
      </c>
      <c r="S45" s="69">
        <f>IF(R45="","",IF(R45&gt;=Settings!$C$13,"สูง",IF(R45&gt;=Settings!$C$12,"ปานกลาง","ต่ำ")))</f>
        <v/>
      </c>
      <c r="T45" s="70">
        <f>IF(OR(S45="",P45=""),"",IF(AND(S45="สูง",P45="ตัด D2"),"⚠ เสี่ยงสูงแต่เสนอตัด D2 — ควรทบทวน",IF(AND(S45="ต่ำ",P45="คง D2"),"ℹ เสี่ยงต่ำแต่เสนอคง D2 — อาจควบคุมเกินจำเป็น",IF(AND(P45="เปลี่ยนเป็นหน่วยงานผู้เชี่ยวชาญ",M45="No"),"⚠ เสนอโอน แต่ตอบว่ายังไม่มีผู้เชี่ยวชาญตรวจ",IF(AND(P45="เปลี่ยนเป็นหน่วยงานผู้เชี่ยวชาญ",Q45=""),"⚠ ยังไม่ระบุหน่วยงานผู้เชี่ยวชาญ","")))))</f>
        <v/>
      </c>
      <c r="U45" s="69">
        <f>IF(AND(P45="ตัด D2",ISNUMBER(D45),ISNUMBER(F45)),D45*F45,"")</f>
        <v/>
      </c>
      <c r="V45" s="73" t="n"/>
      <c r="W45" s="70">
        <f>IF(C45="","",IF(AND(ISNUMBER(D45),D45=0),"✔ ไม่เคยทำ (ข้าม)",IF(COUNTA(D45:P45)=0,"○ ยังไม่เริ่ม",IF(IF(D45="","จำนวน/ปี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","")="","✔ ครบ","⏳ ขาด: "&amp;TRIM(IF(D45="","จำนวน/ปี ","")&amp;IF(E45="","ระยะเวลา ","")&amp;IF(F45="","D2ใช้(วัน) ","")&amp;IF(G45="","งบ ","")&amp;IF(H45="","อัตรากำลัง ","")&amp;IF(I45="","กฎหมาย ","")&amp;IF(J45="","ทรัพย์สิน ","")&amp;IF(K45="","ชื่อเสียง ","")&amp;IF(L45="","นโยบาย ","")&amp;IF(M45="","ผู้เชี่ยวชาญตรวจ ","")&amp;IF(N45="","D2เพิ่มคุณค่า ","")&amp;IF(O45="","D2ตีกลับ ","")&amp;IF(P45="","ข้อเสนอ ","")&amp;IF(AND(P45="เปลี่ยนเป็นหน่วยงานผู้เชี่ยวชาญ",Q45=""),"หน่วยงานผู้เชี่ยวชาญ ",""))))))</f>
        <v/>
      </c>
    </row>
    <row r="46">
      <c r="A46" s="69" t="n">
        <v>40</v>
      </c>
      <c r="B46" s="70" t="inlineStr">
        <is>
          <t>HR: วินัย ธรรมาภิบาล และข้อร้องเรียน</t>
        </is>
      </c>
      <c r="C46" s="71" t="inlineStr">
        <is>
          <t>การสอบข้อเท็จจริง</t>
        </is>
      </c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69">
        <f>IF(COUNTA(G46:I46,M46)&lt;4,"",Settings!$C$5*(G46="Yes")+Settings!$C$6*(H46="Yes")+Settings!$C$7*(I46="Yes")+Settings!$C$8*(M46="No"))</f>
        <v/>
      </c>
      <c r="S46" s="69">
        <f>IF(R46="","",IF(R46&gt;=Settings!$C$13,"สูง",IF(R46&gt;=Settings!$C$12,"ปานกลาง","ต่ำ")))</f>
        <v/>
      </c>
      <c r="T46" s="70">
        <f>IF(OR(S46="",P46=""),"",IF(AND(S46="สูง",P46="ตัด D2"),"⚠ เสี่ยงสูงแต่เสนอตัด D2 — ควรทบทวน",IF(AND(S46="ต่ำ",P46="คง D2"),"ℹ เสี่ยงต่ำแต่เสนอคง D2 — อาจควบคุมเกินจำเป็น",IF(AND(P46="เปลี่ยนเป็นหน่วยงานผู้เชี่ยวชาญ",M46="No"),"⚠ เสนอโอน แต่ตอบว่ายังไม่มีผู้เชี่ยวชาญตรวจ",IF(AND(P46="เปลี่ยนเป็นหน่วยงานผู้เชี่ยวชาญ",Q46=""),"⚠ ยังไม่ระบุหน่วยงานผู้เชี่ยวชาญ","")))))</f>
        <v/>
      </c>
      <c r="U46" s="69">
        <f>IF(AND(P46="ตัด D2",ISNUMBER(D46),ISNUMBER(F46)),D46*F46,"")</f>
        <v/>
      </c>
      <c r="V46" s="73" t="n"/>
      <c r="W46" s="70">
        <f>IF(C46="","",IF(AND(ISNUMBER(D46),D46=0),"✔ ไม่เคยทำ (ข้าม)",IF(COUNTA(D46:P46)=0,"○ ยังไม่เริ่ม",IF(IF(D46="","จำนวน/ปี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","")="","✔ ครบ","⏳ ขาด: "&amp;TRIM(IF(D46="","จำนวน/ปี ","")&amp;IF(E46="","ระยะเวลา ","")&amp;IF(F46="","D2ใช้(วัน) ","")&amp;IF(G46="","งบ ","")&amp;IF(H46="","อัตรากำลัง ","")&amp;IF(I46="","กฎหมาย ","")&amp;IF(J46="","ทรัพย์สิน ","")&amp;IF(K46="","ชื่อเสียง ","")&amp;IF(L46="","นโยบาย ","")&amp;IF(M46="","ผู้เชี่ยวชาญตรวจ ","")&amp;IF(N46="","D2เพิ่มคุณค่า ","")&amp;IF(O46="","D2ตีกลับ ","")&amp;IF(P46="","ข้อเสนอ ","")&amp;IF(AND(P46="เปลี่ยนเป็นหน่วยงานผู้เชี่ยวชาญ",Q46=""),"หน่วยงานผู้เชี่ยวชาญ ",""))))))</f>
        <v/>
      </c>
    </row>
    <row r="47">
      <c r="A47" s="69" t="n">
        <v>41</v>
      </c>
      <c r="B47" s="70" t="inlineStr">
        <is>
          <t>HR: วินัย ธรรมาภิบาล และข้อร้องเรียน</t>
        </is>
      </c>
      <c r="C47" s="71" t="inlineStr">
        <is>
          <t>การดำเนินการทางวินัย</t>
        </is>
      </c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69">
        <f>IF(COUNTA(G47:I47,M47)&lt;4,"",Settings!$C$5*(G47="Yes")+Settings!$C$6*(H47="Yes")+Settings!$C$7*(I47="Yes")+Settings!$C$8*(M47="No"))</f>
        <v/>
      </c>
      <c r="S47" s="69">
        <f>IF(R47="","",IF(R47&gt;=Settings!$C$13,"สูง",IF(R47&gt;=Settings!$C$12,"ปานกลาง","ต่ำ")))</f>
        <v/>
      </c>
      <c r="T47" s="70">
        <f>IF(OR(S47="",P47=""),"",IF(AND(S47="สูง",P47="ตัด D2"),"⚠ เสี่ยงสูงแต่เสนอตัด D2 — ควรทบทวน",IF(AND(S47="ต่ำ",P47="คง D2"),"ℹ เสี่ยงต่ำแต่เสนอคง D2 — อาจควบคุมเกินจำเป็น",IF(AND(P47="เปลี่ยนเป็นหน่วยงานผู้เชี่ยวชาญ",M47="No"),"⚠ เสนอโอน แต่ตอบว่ายังไม่มีผู้เชี่ยวชาญตรวจ",IF(AND(P47="เปลี่ยนเป็นหน่วยงานผู้เชี่ยวชาญ",Q47=""),"⚠ ยังไม่ระบุหน่วยงานผู้เชี่ยวชาญ","")))))</f>
        <v/>
      </c>
      <c r="U47" s="69">
        <f>IF(AND(P47="ตัด D2",ISNUMBER(D47),ISNUMBER(F47)),D47*F47,"")</f>
        <v/>
      </c>
      <c r="V47" s="73" t="n"/>
      <c r="W47" s="70">
        <f>IF(C47="","",IF(AND(ISNUMBER(D47),D47=0),"✔ ไม่เคยทำ (ข้าม)",IF(COUNTA(D47:P47)=0,"○ ยังไม่เริ่ม",IF(IF(D47="","จำนวน/ปี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","")="","✔ ครบ","⏳ ขาด: "&amp;TRIM(IF(D47="","จำนวน/ปี ","")&amp;IF(E47="","ระยะเวลา ","")&amp;IF(F47="","D2ใช้(วัน) ","")&amp;IF(G47="","งบ ","")&amp;IF(H47="","อัตรากำลัง ","")&amp;IF(I47="","กฎหมาย ","")&amp;IF(J47="","ทรัพย์สิน ","")&amp;IF(K47="","ชื่อเสียง ","")&amp;IF(L47="","นโยบาย ","")&amp;IF(M47="","ผู้เชี่ยวชาญตรวจ ","")&amp;IF(N47="","D2เพิ่มคุณค่า ","")&amp;IF(O47="","D2ตีกลับ ","")&amp;IF(P47="","ข้อเสนอ ","")&amp;IF(AND(P47="เปลี่ยนเป็นหน่วยงานผู้เชี่ยวชาญ",Q47=""),"หน่วยงานผู้เชี่ยวชาญ ",""))))))</f>
        <v/>
      </c>
    </row>
    <row r="48">
      <c r="A48" s="69" t="n">
        <v>42</v>
      </c>
      <c r="B48" s="70" t="inlineStr">
        <is>
          <t>HR: วินัย ธรรมาภิบาล และข้อร้องเรียน</t>
        </is>
      </c>
      <c r="C48" s="71" t="inlineStr">
        <is>
          <t>การอุทธรณ์ผลประเมิน</t>
        </is>
      </c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69">
        <f>IF(COUNTA(G48:I48,M48)&lt;4,"",Settings!$C$5*(G48="Yes")+Settings!$C$6*(H48="Yes")+Settings!$C$7*(I48="Yes")+Settings!$C$8*(M48="No"))</f>
        <v/>
      </c>
      <c r="S48" s="69">
        <f>IF(R48="","",IF(R48&gt;=Settings!$C$13,"สูง",IF(R48&gt;=Settings!$C$12,"ปานกลาง","ต่ำ")))</f>
        <v/>
      </c>
      <c r="T48" s="70">
        <f>IF(OR(S48="",P48=""),"",IF(AND(S48="สูง",P48="ตัด D2"),"⚠ เสี่ยงสูงแต่เสนอตัด D2 — ควรทบทวน",IF(AND(S48="ต่ำ",P48="คง D2"),"ℹ เสี่ยงต่ำแต่เสนอคง D2 — อาจควบคุมเกินจำเป็น",IF(AND(P48="เปลี่ยนเป็นหน่วยงานผู้เชี่ยวชาญ",M48="No"),"⚠ เสนอโอน แต่ตอบว่ายังไม่มีผู้เชี่ยวชาญตรวจ",IF(AND(P48="เปลี่ยนเป็นหน่วยงานผู้เชี่ยวชาญ",Q48=""),"⚠ ยังไม่ระบุหน่วยงานผู้เชี่ยวชาญ","")))))</f>
        <v/>
      </c>
      <c r="U48" s="69">
        <f>IF(AND(P48="ตัด D2",ISNUMBER(D48),ISNUMBER(F48)),D48*F48,"")</f>
        <v/>
      </c>
      <c r="V48" s="73" t="n"/>
      <c r="W48" s="70">
        <f>IF(C48="","",IF(AND(ISNUMBER(D48),D48=0),"✔ ไม่เคยทำ (ข้าม)",IF(COUNTA(D48:P48)=0,"○ ยังไม่เริ่ม",IF(IF(D48="","จำนวน/ปี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","")="","✔ ครบ","⏳ ขาด: "&amp;TRIM(IF(D48="","จำนวน/ปี ","")&amp;IF(E48="","ระยะเวลา ","")&amp;IF(F48="","D2ใช้(วัน) ","")&amp;IF(G48="","งบ ","")&amp;IF(H48="","อัตรากำลัง ","")&amp;IF(I48="","กฎหมาย ","")&amp;IF(J48="","ทรัพย์สิน ","")&amp;IF(K48="","ชื่อเสียง ","")&amp;IF(L48="","นโยบาย ","")&amp;IF(M48="","ผู้เชี่ยวชาญตรวจ ","")&amp;IF(N48="","D2เพิ่มคุณค่า ","")&amp;IF(O48="","D2ตีกลับ ","")&amp;IF(P48="","ข้อเสนอ ","")&amp;IF(AND(P48="เปลี่ยนเป็นหน่วยงานผู้เชี่ยวชาญ",Q48=""),"หน่วยงานผู้เชี่ยวชาญ ",""))))))</f>
        <v/>
      </c>
    </row>
    <row r="49">
      <c r="A49" s="72" t="n"/>
      <c r="B49" s="73" t="n"/>
      <c r="C49" s="73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69">
        <f>IF(COUNTA(G49:I49,M49)&lt;4,"",Settings!$C$5*(G49="Yes")+Settings!$C$6*(H49="Yes")+Settings!$C$7*(I49="Yes")+Settings!$C$8*(M49="No"))</f>
        <v/>
      </c>
      <c r="S49" s="69">
        <f>IF(R49="","",IF(R49&gt;=Settings!$C$13,"สูง",IF(R49&gt;=Settings!$C$12,"ปานกลาง","ต่ำ")))</f>
        <v/>
      </c>
      <c r="T49" s="70">
        <f>IF(OR(S49="",P49=""),"",IF(AND(S49="สูง",P49="ตัด D2"),"⚠ เสี่ยงสูงแต่เสนอตัด D2 — ควรทบทวน",IF(AND(S49="ต่ำ",P49="คง D2"),"ℹ เสี่ยงต่ำแต่เสนอคง D2 — อาจควบคุมเกินจำเป็น",IF(AND(P49="เปลี่ยนเป็นหน่วยงานผู้เชี่ยวชาญ",M49="No"),"⚠ เสนอโอน แต่ตอบว่ายังไม่มีผู้เชี่ยวชาญตรวจ",IF(AND(P49="เปลี่ยนเป็นหน่วยงานผู้เชี่ยวชาญ",Q49=""),"⚠ ยังไม่ระบุหน่วยงานผู้เชี่ยวชาญ","")))))</f>
        <v/>
      </c>
      <c r="U49" s="69">
        <f>IF(AND(P49="ตัด D2",ISNUMBER(D49),ISNUMBER(F49)),D49*F49,"")</f>
        <v/>
      </c>
      <c r="V49" s="73" t="n"/>
      <c r="W49" s="70">
        <f>IF(C49="","",IF(AND(ISNUMBER(D49),D49=0),"✔ ไม่เคยทำ (ข้าม)",IF(COUNTA(D49:P49)=0,"○ ยังไม่เริ่ม",IF(IF(D49="","จำนวน/ปี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","")="","✔ ครบ","⏳ ขาด: "&amp;TRIM(IF(D49="","จำนวน/ปี ","")&amp;IF(E49="","ระยะเวลา ","")&amp;IF(F49="","D2ใช้(วัน) ","")&amp;IF(G49="","งบ ","")&amp;IF(H49="","อัตรากำลัง ","")&amp;IF(I49="","กฎหมาย ","")&amp;IF(J49="","ทรัพย์สิน ","")&amp;IF(K49="","ชื่อเสียง ","")&amp;IF(L49="","นโยบาย ","")&amp;IF(M49="","ผู้เชี่ยวชาญตรวจ ","")&amp;IF(N49="","D2เพิ่มคุณค่า ","")&amp;IF(O49="","D2ตีกลับ ","")&amp;IF(P49="","ข้อเสนอ ","")&amp;IF(AND(P49="เปลี่ยนเป็นหน่วยงานผู้เชี่ยวชาญ",Q49=""),"หน่วยงานผู้เชี่ยวชาญ ",""))))))</f>
        <v/>
      </c>
    </row>
    <row r="50">
      <c r="A50" s="72" t="n"/>
      <c r="B50" s="73" t="n"/>
      <c r="C50" s="73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69">
        <f>IF(COUNTA(G50:I50,M50)&lt;4,"",Settings!$C$5*(G50="Yes")+Settings!$C$6*(H50="Yes")+Settings!$C$7*(I50="Yes")+Settings!$C$8*(M50="No"))</f>
        <v/>
      </c>
      <c r="S50" s="69">
        <f>IF(R50="","",IF(R50&gt;=Settings!$C$13,"สูง",IF(R50&gt;=Settings!$C$12,"ปานกลาง","ต่ำ")))</f>
        <v/>
      </c>
      <c r="T50" s="70">
        <f>IF(OR(S50="",P50=""),"",IF(AND(S50="สูง",P50="ตัด D2"),"⚠ เสี่ยงสูงแต่เสนอตัด D2 — ควรทบทวน",IF(AND(S50="ต่ำ",P50="คง D2"),"ℹ เสี่ยงต่ำแต่เสนอคง D2 — อาจควบคุมเกินจำเป็น",IF(AND(P50="เปลี่ยนเป็นหน่วยงานผู้เชี่ยวชาญ",M50="No"),"⚠ เสนอโอน แต่ตอบว่ายังไม่มีผู้เชี่ยวชาญตรวจ",IF(AND(P50="เปลี่ยนเป็นหน่วยงานผู้เชี่ยวชาญ",Q50=""),"⚠ ยังไม่ระบุหน่วยงานผู้เชี่ยวชาญ","")))))</f>
        <v/>
      </c>
      <c r="U50" s="69">
        <f>IF(AND(P50="ตัด D2",ISNUMBER(D50),ISNUMBER(F50)),D50*F50,"")</f>
        <v/>
      </c>
      <c r="V50" s="73" t="n"/>
      <c r="W50" s="70">
        <f>IF(C50="","",IF(AND(ISNUMBER(D50),D50=0),"✔ ไม่เคยทำ (ข้าม)",IF(COUNTA(D50:P50)=0,"○ ยังไม่เริ่ม",IF(IF(D50="","จำนวน/ปี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","")="","✔ ครบ","⏳ ขาด: "&amp;TRIM(IF(D50="","จำนวน/ปี ","")&amp;IF(E50="","ระยะเวลา ","")&amp;IF(F50="","D2ใช้(วัน) ","")&amp;IF(G50="","งบ ","")&amp;IF(H50="","อัตรากำลัง ","")&amp;IF(I50="","กฎหมาย ","")&amp;IF(J50="","ทรัพย์สิน ","")&amp;IF(K50="","ชื่อเสียง ","")&amp;IF(L50="","นโยบาย ","")&amp;IF(M50="","ผู้เชี่ยวชาญตรวจ ","")&amp;IF(N50="","D2เพิ่มคุณค่า ","")&amp;IF(O50="","D2ตีกลับ ","")&amp;IF(P50="","ข้อเสนอ ","")&amp;IF(AND(P50="เปลี่ยนเป็นหน่วยงานผู้เชี่ยวชาญ",Q50=""),"หน่วยงานผู้เชี่ยวชาญ ",""))))))</f>
        <v/>
      </c>
    </row>
    <row r="51">
      <c r="A51" s="72" t="n"/>
      <c r="B51" s="73" t="n"/>
      <c r="C51" s="73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69">
        <f>IF(COUNTA(G51:I51,M51)&lt;4,"",Settings!$C$5*(G51="Yes")+Settings!$C$6*(H51="Yes")+Settings!$C$7*(I51="Yes")+Settings!$C$8*(M51="No"))</f>
        <v/>
      </c>
      <c r="S51" s="69">
        <f>IF(R51="","",IF(R51&gt;=Settings!$C$13,"สูง",IF(R51&gt;=Settings!$C$12,"ปานกลาง","ต่ำ")))</f>
        <v/>
      </c>
      <c r="T51" s="70">
        <f>IF(OR(S51="",P51=""),"",IF(AND(S51="สูง",P51="ตัด D2"),"⚠ เสี่ยงสูงแต่เสนอตัด D2 — ควรทบทวน",IF(AND(S51="ต่ำ",P51="คง D2"),"ℹ เสี่ยงต่ำแต่เสนอคง D2 — อาจควบคุมเกินจำเป็น",IF(AND(P51="เปลี่ยนเป็นหน่วยงานผู้เชี่ยวชาญ",M51="No"),"⚠ เสนอโอน แต่ตอบว่ายังไม่มีผู้เชี่ยวชาญตรวจ",IF(AND(P51="เปลี่ยนเป็นหน่วยงานผู้เชี่ยวชาญ",Q51=""),"⚠ ยังไม่ระบุหน่วยงานผู้เชี่ยวชาญ","")))))</f>
        <v/>
      </c>
      <c r="U51" s="69">
        <f>IF(AND(P51="ตัด D2",ISNUMBER(D51),ISNUMBER(F51)),D51*F51,"")</f>
        <v/>
      </c>
      <c r="V51" s="73" t="n"/>
      <c r="W51" s="70">
        <f>IF(C51="","",IF(AND(ISNUMBER(D51),D51=0),"✔ ไม่เคยทำ (ข้าม)",IF(COUNTA(D51:P51)=0,"○ ยังไม่เริ่ม",IF(IF(D51="","จำนวน/ปี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","")="","✔ ครบ","⏳ ขาด: "&amp;TRIM(IF(D51="","จำนวน/ปี ","")&amp;IF(E51="","ระยะเวลา ","")&amp;IF(F51="","D2ใช้(วัน) ","")&amp;IF(G51="","งบ ","")&amp;IF(H51="","อัตรากำลัง ","")&amp;IF(I51="","กฎหมาย ","")&amp;IF(J51="","ทรัพย์สิน ","")&amp;IF(K51="","ชื่อเสียง ","")&amp;IF(L51="","นโยบาย ","")&amp;IF(M51="","ผู้เชี่ยวชาญตรวจ ","")&amp;IF(N51="","D2เพิ่มคุณค่า ","")&amp;IF(O51="","D2ตีกลับ ","")&amp;IF(P51="","ข้อเสนอ ","")&amp;IF(AND(P51="เปลี่ยนเป็นหน่วยงานผู้เชี่ยวชาญ",Q51=""),"หน่วยงานผู้เชี่ยวชาญ ",""))))))</f>
        <v/>
      </c>
    </row>
    <row r="52">
      <c r="A52" s="72" t="n"/>
      <c r="B52" s="73" t="n"/>
      <c r="C52" s="73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69">
        <f>IF(COUNTA(G52:I52,M52)&lt;4,"",Settings!$C$5*(G52="Yes")+Settings!$C$6*(H52="Yes")+Settings!$C$7*(I52="Yes")+Settings!$C$8*(M52="No"))</f>
        <v/>
      </c>
      <c r="S52" s="69">
        <f>IF(R52="","",IF(R52&gt;=Settings!$C$13,"สูง",IF(R52&gt;=Settings!$C$12,"ปานกลาง","ต่ำ")))</f>
        <v/>
      </c>
      <c r="T52" s="70">
        <f>IF(OR(S52="",P52=""),"",IF(AND(S52="สูง",P52="ตัด D2"),"⚠ เสี่ยงสูงแต่เสนอตัด D2 — ควรทบทวน",IF(AND(S52="ต่ำ",P52="คง D2"),"ℹ เสี่ยงต่ำแต่เสนอคง D2 — อาจควบคุมเกินจำเป็น",IF(AND(P52="เปลี่ยนเป็นหน่วยงานผู้เชี่ยวชาญ",M52="No"),"⚠ เสนอโอน แต่ตอบว่ายังไม่มีผู้เชี่ยวชาญตรวจ",IF(AND(P52="เปลี่ยนเป็นหน่วยงานผู้เชี่ยวชาญ",Q52=""),"⚠ ยังไม่ระบุหน่วยงานผู้เชี่ยวชาญ","")))))</f>
        <v/>
      </c>
      <c r="U52" s="69">
        <f>IF(AND(P52="ตัด D2",ISNUMBER(D52),ISNUMBER(F52)),D52*F52,"")</f>
        <v/>
      </c>
      <c r="V52" s="73" t="n"/>
      <c r="W52" s="70">
        <f>IF(C52="","",IF(AND(ISNUMBER(D52),D52=0),"✔ ไม่เคยทำ (ข้าม)",IF(COUNTA(D52:P52)=0,"○ ยังไม่เริ่ม",IF(IF(D52="","จำนวน/ปี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","")="","✔ ครบ","⏳ ขาด: "&amp;TRIM(IF(D52="","จำนวน/ปี ","")&amp;IF(E52="","ระยะเวลา ","")&amp;IF(F52="","D2ใช้(วัน) ","")&amp;IF(G52="","งบ ","")&amp;IF(H52="","อัตรากำลัง ","")&amp;IF(I52="","กฎหมาย ","")&amp;IF(J52="","ทรัพย์สิน ","")&amp;IF(K52="","ชื่อเสียง ","")&amp;IF(L52="","นโยบาย ","")&amp;IF(M52="","ผู้เชี่ยวชาญตรวจ ","")&amp;IF(N52="","D2เพิ่มคุณค่า ","")&amp;IF(O52="","D2ตีกลับ ","")&amp;IF(P52="","ข้อเสนอ ","")&amp;IF(AND(P52="เปลี่ยนเป็นหน่วยงานผู้เชี่ยวชาญ",Q52=""),"หน่วยงานผู้เชี่ยวชาญ ",""))))))</f>
        <v/>
      </c>
    </row>
    <row r="53">
      <c r="A53" s="72" t="n"/>
      <c r="B53" s="73" t="n"/>
      <c r="C53" s="73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69">
        <f>IF(COUNTA(G53:I53,M53)&lt;4,"",Settings!$C$5*(G53="Yes")+Settings!$C$6*(H53="Yes")+Settings!$C$7*(I53="Yes")+Settings!$C$8*(M53="No"))</f>
        <v/>
      </c>
      <c r="S53" s="69">
        <f>IF(R53="","",IF(R53&gt;=Settings!$C$13,"สูง",IF(R53&gt;=Settings!$C$12,"ปานกลาง","ต่ำ")))</f>
        <v/>
      </c>
      <c r="T53" s="70">
        <f>IF(OR(S53="",P53=""),"",IF(AND(S53="สูง",P53="ตัด D2"),"⚠ เสี่ยงสูงแต่เสนอตัด D2 — ควรทบทวน",IF(AND(S53="ต่ำ",P53="คง D2"),"ℹ เสี่ยงต่ำแต่เสนอคง D2 — อาจควบคุมเกินจำเป็น",IF(AND(P53="เปลี่ยนเป็นหน่วยงานผู้เชี่ยวชาญ",M53="No"),"⚠ เสนอโอน แต่ตอบว่ายังไม่มีผู้เชี่ยวชาญตรวจ",IF(AND(P53="เปลี่ยนเป็นหน่วยงานผู้เชี่ยวชาญ",Q53=""),"⚠ ยังไม่ระบุหน่วยงานผู้เชี่ยวชาญ","")))))</f>
        <v/>
      </c>
      <c r="U53" s="69">
        <f>IF(AND(P53="ตัด D2",ISNUMBER(D53),ISNUMBER(F53)),D53*F53,"")</f>
        <v/>
      </c>
      <c r="V53" s="73" t="n"/>
      <c r="W53" s="70">
        <f>IF(C53="","",IF(AND(ISNUMBER(D53),D53=0),"✔ ไม่เคยทำ (ข้าม)",IF(COUNTA(D53:P53)=0,"○ ยังไม่เริ่ม",IF(IF(D53="","จำนวน/ปี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","")="","✔ ครบ","⏳ ขาด: "&amp;TRIM(IF(D53="","จำนวน/ปี ","")&amp;IF(E53="","ระยะเวลา ","")&amp;IF(F53="","D2ใช้(วัน) ","")&amp;IF(G53="","งบ ","")&amp;IF(H53="","อัตรากำลัง ","")&amp;IF(I53="","กฎหมาย ","")&amp;IF(J53="","ทรัพย์สิน ","")&amp;IF(K53="","ชื่อเสียง ","")&amp;IF(L53="","นโยบาย ","")&amp;IF(M53="","ผู้เชี่ยวชาญตรวจ ","")&amp;IF(N53="","D2เพิ่มคุณค่า ","")&amp;IF(O53="","D2ตีกลับ ","")&amp;IF(P53="","ข้อเสนอ ","")&amp;IF(AND(P53="เปลี่ยนเป็นหน่วยงานผู้เชี่ยวชาญ",Q53=""),"หน่วยงานผู้เชี่ยวชาญ ",""))))))</f>
        <v/>
      </c>
    </row>
    <row r="54">
      <c r="A54" s="72" t="n"/>
      <c r="B54" s="73" t="n"/>
      <c r="C54" s="73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69">
        <f>IF(COUNTA(G54:I54,M54)&lt;4,"",Settings!$C$5*(G54="Yes")+Settings!$C$6*(H54="Yes")+Settings!$C$7*(I54="Yes")+Settings!$C$8*(M54="No"))</f>
        <v/>
      </c>
      <c r="S54" s="69">
        <f>IF(R54="","",IF(R54&gt;=Settings!$C$13,"สูง",IF(R54&gt;=Settings!$C$12,"ปานกลาง","ต่ำ")))</f>
        <v/>
      </c>
      <c r="T54" s="70">
        <f>IF(OR(S54="",P54=""),"",IF(AND(S54="สูง",P54="ตัด D2"),"⚠ เสี่ยงสูงแต่เสนอตัด D2 — ควรทบทวน",IF(AND(S54="ต่ำ",P54="คง D2"),"ℹ เสี่ยงต่ำแต่เสนอคง D2 — อาจควบคุมเกินจำเป็น",IF(AND(P54="เปลี่ยนเป็นหน่วยงานผู้เชี่ยวชาญ",M54="No"),"⚠ เสนอโอน แต่ตอบว่ายังไม่มีผู้เชี่ยวชาญตรวจ",IF(AND(P54="เปลี่ยนเป็นหน่วยงานผู้เชี่ยวชาญ",Q54=""),"⚠ ยังไม่ระบุหน่วยงานผู้เชี่ยวชาญ","")))))</f>
        <v/>
      </c>
      <c r="U54" s="69">
        <f>IF(AND(P54="ตัด D2",ISNUMBER(D54),ISNUMBER(F54)),D54*F54,"")</f>
        <v/>
      </c>
      <c r="V54" s="73" t="n"/>
      <c r="W54" s="70">
        <f>IF(C54="","",IF(AND(ISNUMBER(D54),D54=0),"✔ ไม่เคยทำ (ข้าม)",IF(COUNTA(D54:P54)=0,"○ ยังไม่เริ่ม",IF(IF(D54="","จำนวน/ปี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","")="","✔ ครบ","⏳ ขาด: "&amp;TRIM(IF(D54="","จำนวน/ปี ","")&amp;IF(E54="","ระยะเวลา ","")&amp;IF(F54="","D2ใช้(วัน) ","")&amp;IF(G54="","งบ ","")&amp;IF(H54="","อัตรากำลัง ","")&amp;IF(I54="","กฎหมาย ","")&amp;IF(J54="","ทรัพย์สิน ","")&amp;IF(K54="","ชื่อเสียง ","")&amp;IF(L54="","นโยบาย ","")&amp;IF(M54="","ผู้เชี่ยวชาญตรวจ ","")&amp;IF(N54="","D2เพิ่มคุณค่า ","")&amp;IF(O54="","D2ตีกลับ ","")&amp;IF(P54="","ข้อเสนอ ","")&amp;IF(AND(P54="เปลี่ยนเป็นหน่วยงานผู้เชี่ยวชาญ",Q54=""),"หน่วยงานผู้เชี่ยวชาญ ",""))))))</f>
        <v/>
      </c>
    </row>
    <row r="55">
      <c r="A55" s="72" t="n"/>
      <c r="B55" s="73" t="n"/>
      <c r="C55" s="73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69">
        <f>IF(COUNTA(G55:I55,M55)&lt;4,"",Settings!$C$5*(G55="Yes")+Settings!$C$6*(H55="Yes")+Settings!$C$7*(I55="Yes")+Settings!$C$8*(M55="No"))</f>
        <v/>
      </c>
      <c r="S55" s="69">
        <f>IF(R55="","",IF(R55&gt;=Settings!$C$13,"สูง",IF(R55&gt;=Settings!$C$12,"ปานกลาง","ต่ำ")))</f>
        <v/>
      </c>
      <c r="T55" s="70">
        <f>IF(OR(S55="",P55=""),"",IF(AND(S55="สูง",P55="ตัด D2"),"⚠ เสี่ยงสูงแต่เสนอตัด D2 — ควรทบทวน",IF(AND(S55="ต่ำ",P55="คง D2"),"ℹ เสี่ยงต่ำแต่เสนอคง D2 — อาจควบคุมเกินจำเป็น",IF(AND(P55="เปลี่ยนเป็นหน่วยงานผู้เชี่ยวชาญ",M55="No"),"⚠ เสนอโอน แต่ตอบว่ายังไม่มีผู้เชี่ยวชาญตรวจ",IF(AND(P55="เปลี่ยนเป็นหน่วยงานผู้เชี่ยวชาญ",Q55=""),"⚠ ยังไม่ระบุหน่วยงานผู้เชี่ยวชาญ","")))))</f>
        <v/>
      </c>
      <c r="U55" s="69">
        <f>IF(AND(P55="ตัด D2",ISNUMBER(D55),ISNUMBER(F55)),D55*F55,"")</f>
        <v/>
      </c>
      <c r="V55" s="73" t="n"/>
      <c r="W55" s="70">
        <f>IF(C55="","",IF(AND(ISNUMBER(D55),D55=0),"✔ ไม่เคยทำ (ข้าม)",IF(COUNTA(D55:P55)=0,"○ ยังไม่เริ่ม",IF(IF(D55="","จำนวน/ปี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","")="","✔ ครบ","⏳ ขาด: "&amp;TRIM(IF(D55="","จำนวน/ปี ","")&amp;IF(E55="","ระยะเวลา ","")&amp;IF(F55="","D2ใช้(วัน) ","")&amp;IF(G55="","งบ ","")&amp;IF(H55="","อัตรากำลัง ","")&amp;IF(I55="","กฎหมาย ","")&amp;IF(J55="","ทรัพย์สิน ","")&amp;IF(K55="","ชื่อเสียง ","")&amp;IF(L55="","นโยบาย ","")&amp;IF(M55="","ผู้เชี่ยวชาญตรวจ ","")&amp;IF(N55="","D2เพิ่มคุณค่า ","")&amp;IF(O55="","D2ตีกลับ ","")&amp;IF(P55="","ข้อเสนอ ","")&amp;IF(AND(P55="เปลี่ยนเป็นหน่วยงานผู้เชี่ยวชาญ",Q55=""),"หน่วยงานผู้เชี่ยวชาญ ",""))))))</f>
        <v/>
      </c>
    </row>
    <row r="56">
      <c r="A56" s="72" t="n"/>
      <c r="B56" s="73" t="n"/>
      <c r="C56" s="73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69">
        <f>IF(COUNTA(G56:I56,M56)&lt;4,"",Settings!$C$5*(G56="Yes")+Settings!$C$6*(H56="Yes")+Settings!$C$7*(I56="Yes")+Settings!$C$8*(M56="No"))</f>
        <v/>
      </c>
      <c r="S56" s="69">
        <f>IF(R56="","",IF(R56&gt;=Settings!$C$13,"สูง",IF(R56&gt;=Settings!$C$12,"ปานกลาง","ต่ำ")))</f>
        <v/>
      </c>
      <c r="T56" s="70">
        <f>IF(OR(S56="",P56=""),"",IF(AND(S56="สูง",P56="ตัด D2"),"⚠ เสี่ยงสูงแต่เสนอตัด D2 — ควรทบทวน",IF(AND(S56="ต่ำ",P56="คง D2"),"ℹ เสี่ยงต่ำแต่เสนอคง D2 — อาจควบคุมเกินจำเป็น",IF(AND(P56="เปลี่ยนเป็นหน่วยงานผู้เชี่ยวชาญ",M56="No"),"⚠ เสนอโอน แต่ตอบว่ายังไม่มีผู้เชี่ยวชาญตรวจ",IF(AND(P56="เปลี่ยนเป็นหน่วยงานผู้เชี่ยวชาญ",Q56=""),"⚠ ยังไม่ระบุหน่วยงานผู้เชี่ยวชาญ","")))))</f>
        <v/>
      </c>
      <c r="U56" s="69">
        <f>IF(AND(P56="ตัด D2",ISNUMBER(D56),ISNUMBER(F56)),D56*F56,"")</f>
        <v/>
      </c>
      <c r="V56" s="73" t="n"/>
      <c r="W56" s="70">
        <f>IF(C56="","",IF(AND(ISNUMBER(D56),D56=0),"✔ ไม่เคยทำ (ข้าม)",IF(COUNTA(D56:P56)=0,"○ ยังไม่เริ่ม",IF(IF(D56="","จำนวน/ปี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","")="","✔ ครบ","⏳ ขาด: "&amp;TRIM(IF(D56="","จำนวน/ปี ","")&amp;IF(E56="","ระยะเวลา ","")&amp;IF(F56="","D2ใช้(วัน) ","")&amp;IF(G56="","งบ ","")&amp;IF(H56="","อัตรากำลัง ","")&amp;IF(I56="","กฎหมาย ","")&amp;IF(J56="","ทรัพย์สิน ","")&amp;IF(K56="","ชื่อเสียง ","")&amp;IF(L56="","นโยบาย ","")&amp;IF(M56="","ผู้เชี่ยวชาญตรวจ ","")&amp;IF(N56="","D2เพิ่มคุณค่า ","")&amp;IF(O56="","D2ตีกลับ ","")&amp;IF(P56="","ข้อเสนอ ","")&amp;IF(AND(P56="เปลี่ยนเป็นหน่วยงานผู้เชี่ยวชาญ",Q56=""),"หน่วยงานผู้เชี่ยวชาญ ",""))))))</f>
        <v/>
      </c>
    </row>
    <row r="57">
      <c r="A57" s="72" t="n"/>
      <c r="B57" s="73" t="n"/>
      <c r="C57" s="73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69">
        <f>IF(COUNTA(G57:I57,M57)&lt;4,"",Settings!$C$5*(G57="Yes")+Settings!$C$6*(H57="Yes")+Settings!$C$7*(I57="Yes")+Settings!$C$8*(M57="No"))</f>
        <v/>
      </c>
      <c r="S57" s="69">
        <f>IF(R57="","",IF(R57&gt;=Settings!$C$13,"สูง",IF(R57&gt;=Settings!$C$12,"ปานกลาง","ต่ำ")))</f>
        <v/>
      </c>
      <c r="T57" s="70">
        <f>IF(OR(S57="",P57=""),"",IF(AND(S57="สูง",P57="ตัด D2"),"⚠ เสี่ยงสูงแต่เสนอตัด D2 — ควรทบทวน",IF(AND(S57="ต่ำ",P57="คง D2"),"ℹ เสี่ยงต่ำแต่เสนอคง D2 — อาจควบคุมเกินจำเป็น",IF(AND(P57="เปลี่ยนเป็นหน่วยงานผู้เชี่ยวชาญ",M57="No"),"⚠ เสนอโอน แต่ตอบว่ายังไม่มีผู้เชี่ยวชาญตรวจ",IF(AND(P57="เปลี่ยนเป็นหน่วยงานผู้เชี่ยวชาญ",Q57=""),"⚠ ยังไม่ระบุหน่วยงานผู้เชี่ยวชาญ","")))))</f>
        <v/>
      </c>
      <c r="U57" s="69">
        <f>IF(AND(P57="ตัด D2",ISNUMBER(D57),ISNUMBER(F57)),D57*F57,"")</f>
        <v/>
      </c>
      <c r="V57" s="73" t="n"/>
      <c r="W57" s="70">
        <f>IF(C57="","",IF(AND(ISNUMBER(D57),D57=0),"✔ ไม่เคยทำ (ข้าม)",IF(COUNTA(D57:P57)=0,"○ ยังไม่เริ่ม",IF(IF(D57="","จำนวน/ปี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","")="","✔ ครบ","⏳ ขาด: "&amp;TRIM(IF(D57="","จำนวน/ปี ","")&amp;IF(E57="","ระยะเวลา ","")&amp;IF(F57="","D2ใช้(วัน) ","")&amp;IF(G57="","งบ ","")&amp;IF(H57="","อัตรากำลัง ","")&amp;IF(I57="","กฎหมาย ","")&amp;IF(J57="","ทรัพย์สิน ","")&amp;IF(K57="","ชื่อเสียง ","")&amp;IF(L57="","นโยบาย ","")&amp;IF(M57="","ผู้เชี่ยวชาญตรวจ ","")&amp;IF(N57="","D2เพิ่มคุณค่า ","")&amp;IF(O57="","D2ตีกลับ ","")&amp;IF(P57="","ข้อเสนอ ","")&amp;IF(AND(P57="เปลี่ยนเป็นหน่วยงานผู้เชี่ยวชาญ",Q57=""),"หน่วยงานผู้เชี่ยวชาญ ",""))))))</f>
        <v/>
      </c>
    </row>
    <row r="58">
      <c r="A58" s="72" t="n"/>
      <c r="B58" s="73" t="n"/>
      <c r="C58" s="73" t="n"/>
      <c r="D58" s="72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69">
        <f>IF(COUNTA(G58:I58,M58)&lt;4,"",Settings!$C$5*(G58="Yes")+Settings!$C$6*(H58="Yes")+Settings!$C$7*(I58="Yes")+Settings!$C$8*(M58="No"))</f>
        <v/>
      </c>
      <c r="S58" s="69">
        <f>IF(R58="","",IF(R58&gt;=Settings!$C$13,"สูง",IF(R58&gt;=Settings!$C$12,"ปานกลาง","ต่ำ")))</f>
        <v/>
      </c>
      <c r="T58" s="70">
        <f>IF(OR(S58="",P58=""),"",IF(AND(S58="สูง",P58="ตัด D2"),"⚠ เสี่ยงสูงแต่เสนอตัด D2 — ควรทบทวน",IF(AND(S58="ต่ำ",P58="คง D2"),"ℹ เสี่ยงต่ำแต่เสนอคง D2 — อาจควบคุมเกินจำเป็น",IF(AND(P58="เปลี่ยนเป็นหน่วยงานผู้เชี่ยวชาญ",M58="No"),"⚠ เสนอโอน แต่ตอบว่ายังไม่มีผู้เชี่ยวชาญตรวจ",IF(AND(P58="เปลี่ยนเป็นหน่วยงานผู้เชี่ยวชาญ",Q58=""),"⚠ ยังไม่ระบุหน่วยงานผู้เชี่ยวชาญ","")))))</f>
        <v/>
      </c>
      <c r="U58" s="69">
        <f>IF(AND(P58="ตัด D2",ISNUMBER(D58),ISNUMBER(F58)),D58*F58,"")</f>
        <v/>
      </c>
      <c r="V58" s="73" t="n"/>
      <c r="W58" s="70">
        <f>IF(C58="","",IF(AND(ISNUMBER(D58),D58=0),"✔ ไม่เคยทำ (ข้าม)",IF(COUNTA(D58:P58)=0,"○ ยังไม่เริ่ม",IF(IF(D58="","จำนวน/ปี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","")="","✔ ครบ","⏳ ขาด: "&amp;TRIM(IF(D58="","จำนวน/ปี ","")&amp;IF(E58="","ระยะเวลา ","")&amp;IF(F58="","D2ใช้(วัน) ","")&amp;IF(G58="","งบ ","")&amp;IF(H58="","อัตรากำลัง ","")&amp;IF(I58="","กฎหมาย ","")&amp;IF(J58="","ทรัพย์สิน ","")&amp;IF(K58="","ชื่อเสียง ","")&amp;IF(L58="","นโยบาย ","")&amp;IF(M58="","ผู้เชี่ยวชาญตรวจ ","")&amp;IF(N58="","D2เพิ่มคุณค่า ","")&amp;IF(O58="","D2ตีกลับ ","")&amp;IF(P58="","ข้อเสนอ ","")&amp;IF(AND(P58="เปลี่ยนเป็นหน่วยงานผู้เชี่ยวชาญ",Q58=""),"หน่วยงานผู้เชี่ยวชาญ ",""))))))</f>
        <v/>
      </c>
    </row>
    <row r="59">
      <c r="A59" s="72" t="n"/>
      <c r="B59" s="73" t="n"/>
      <c r="C59" s="73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69">
        <f>IF(COUNTA(G59:I59,M59)&lt;4,"",Settings!$C$5*(G59="Yes")+Settings!$C$6*(H59="Yes")+Settings!$C$7*(I59="Yes")+Settings!$C$8*(M59="No"))</f>
        <v/>
      </c>
      <c r="S59" s="69">
        <f>IF(R59="","",IF(R59&gt;=Settings!$C$13,"สูง",IF(R59&gt;=Settings!$C$12,"ปานกลาง","ต่ำ")))</f>
        <v/>
      </c>
      <c r="T59" s="70">
        <f>IF(OR(S59="",P59=""),"",IF(AND(S59="สูง",P59="ตัด D2"),"⚠ เสี่ยงสูงแต่เสนอตัด D2 — ควรทบทวน",IF(AND(S59="ต่ำ",P59="คง D2"),"ℹ เสี่ยงต่ำแต่เสนอคง D2 — อาจควบคุมเกินจำเป็น",IF(AND(P59="เปลี่ยนเป็นหน่วยงานผู้เชี่ยวชาญ",M59="No"),"⚠ เสนอโอน แต่ตอบว่ายังไม่มีผู้เชี่ยวชาญตรวจ",IF(AND(P59="เปลี่ยนเป็นหน่วยงานผู้เชี่ยวชาญ",Q59=""),"⚠ ยังไม่ระบุหน่วยงานผู้เชี่ยวชาญ","")))))</f>
        <v/>
      </c>
      <c r="U59" s="69">
        <f>IF(AND(P59="ตัด D2",ISNUMBER(D59),ISNUMBER(F59)),D59*F59,"")</f>
        <v/>
      </c>
      <c r="V59" s="73" t="n"/>
      <c r="W59" s="70">
        <f>IF(C59="","",IF(AND(ISNUMBER(D59),D59=0),"✔ ไม่เคยทำ (ข้าม)",IF(COUNTA(D59:P59)=0,"○ ยังไม่เริ่ม",IF(IF(D59="","จำนวน/ปี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","")="","✔ ครบ","⏳ ขาด: "&amp;TRIM(IF(D59="","จำนวน/ปี ","")&amp;IF(E59="","ระยะเวลา ","")&amp;IF(F59="","D2ใช้(วัน) ","")&amp;IF(G59="","งบ ","")&amp;IF(H59="","อัตรากำลัง ","")&amp;IF(I59="","กฎหมาย ","")&amp;IF(J59="","ทรัพย์สิน ","")&amp;IF(K59="","ชื่อเสียง ","")&amp;IF(L59="","นโยบาย ","")&amp;IF(M59="","ผู้เชี่ยวชาญตรวจ ","")&amp;IF(N59="","D2เพิ่มคุณค่า ","")&amp;IF(O59="","D2ตีกลับ ","")&amp;IF(P59="","ข้อเสนอ ","")&amp;IF(AND(P59="เปลี่ยนเป็นหน่วยงานผู้เชี่ยวชาญ",Q59=""),"หน่วยงานผู้เชี่ยวชาญ ",""))))))</f>
        <v/>
      </c>
    </row>
    <row r="60">
      <c r="A60" s="72" t="n"/>
      <c r="B60" s="73" t="n"/>
      <c r="C60" s="73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69">
        <f>IF(COUNTA(G60:I60,M60)&lt;4,"",Settings!$C$5*(G60="Yes")+Settings!$C$6*(H60="Yes")+Settings!$C$7*(I60="Yes")+Settings!$C$8*(M60="No"))</f>
        <v/>
      </c>
      <c r="S60" s="69">
        <f>IF(R60="","",IF(R60&gt;=Settings!$C$13,"สูง",IF(R60&gt;=Settings!$C$12,"ปานกลาง","ต่ำ")))</f>
        <v/>
      </c>
      <c r="T60" s="70">
        <f>IF(OR(S60="",P60=""),"",IF(AND(S60="สูง",P60="ตัด D2"),"⚠ เสี่ยงสูงแต่เสนอตัด D2 — ควรทบทวน",IF(AND(S60="ต่ำ",P60="คง D2"),"ℹ เสี่ยงต่ำแต่เสนอคง D2 — อาจควบคุมเกินจำเป็น",IF(AND(P60="เปลี่ยนเป็นหน่วยงานผู้เชี่ยวชาญ",M60="No"),"⚠ เสนอโอน แต่ตอบว่ายังไม่มีผู้เชี่ยวชาญตรวจ",IF(AND(P60="เปลี่ยนเป็นหน่วยงานผู้เชี่ยวชาญ",Q60=""),"⚠ ยังไม่ระบุหน่วยงานผู้เชี่ยวชาญ","")))))</f>
        <v/>
      </c>
      <c r="U60" s="69">
        <f>IF(AND(P60="ตัด D2",ISNUMBER(D60),ISNUMBER(F60)),D60*F60,"")</f>
        <v/>
      </c>
      <c r="V60" s="73" t="n"/>
      <c r="W60" s="70">
        <f>IF(C60="","",IF(AND(ISNUMBER(D60),D60=0),"✔ ไม่เคยทำ (ข้าม)",IF(COUNTA(D60:P60)=0,"○ ยังไม่เริ่ม",IF(IF(D60="","จำนวน/ปี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","")="","✔ ครบ","⏳ ขาด: "&amp;TRIM(IF(D60="","จำนวน/ปี ","")&amp;IF(E60="","ระยะเวลา ","")&amp;IF(F60="","D2ใช้(วัน) ","")&amp;IF(G60="","งบ ","")&amp;IF(H60="","อัตรากำลัง ","")&amp;IF(I60="","กฎหมาย ","")&amp;IF(J60="","ทรัพย์สิน ","")&amp;IF(K60="","ชื่อเสียง ","")&amp;IF(L60="","นโยบาย ","")&amp;IF(M60="","ผู้เชี่ยวชาญตรวจ ","")&amp;IF(N60="","D2เพิ่มคุณค่า ","")&amp;IF(O60="","D2ตีกลับ ","")&amp;IF(P60="","ข้อเสนอ ","")&amp;IF(AND(P60="เปลี่ยนเป็นหน่วยงานผู้เชี่ยวชาญ",Q60=""),"หน่วยงานผู้เชี่ยวชาญ ",""))))))</f>
        <v/>
      </c>
    </row>
    <row r="61">
      <c r="A61" s="72" t="n"/>
      <c r="B61" s="73" t="n"/>
      <c r="C61" s="73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69">
        <f>IF(COUNTA(G61:I61,M61)&lt;4,"",Settings!$C$5*(G61="Yes")+Settings!$C$6*(H61="Yes")+Settings!$C$7*(I61="Yes")+Settings!$C$8*(M61="No"))</f>
        <v/>
      </c>
      <c r="S61" s="69">
        <f>IF(R61="","",IF(R61&gt;=Settings!$C$13,"สูง",IF(R61&gt;=Settings!$C$12,"ปานกลาง","ต่ำ")))</f>
        <v/>
      </c>
      <c r="T61" s="70">
        <f>IF(OR(S61="",P61=""),"",IF(AND(S61="สูง",P61="ตัด D2"),"⚠ เสี่ยงสูงแต่เสนอตัด D2 — ควรทบทวน",IF(AND(S61="ต่ำ",P61="คง D2"),"ℹ เสี่ยงต่ำแต่เสนอคง D2 — อาจควบคุมเกินจำเป็น",IF(AND(P61="เปลี่ยนเป็นหน่วยงานผู้เชี่ยวชาญ",M61="No"),"⚠ เสนอโอน แต่ตอบว่ายังไม่มีผู้เชี่ยวชาญตรวจ",IF(AND(P61="เปลี่ยนเป็นหน่วยงานผู้เชี่ยวชาญ",Q61=""),"⚠ ยังไม่ระบุหน่วยงานผู้เชี่ยวชาญ","")))))</f>
        <v/>
      </c>
      <c r="U61" s="69">
        <f>IF(AND(P61="ตัด D2",ISNUMBER(D61),ISNUMBER(F61)),D61*F61,"")</f>
        <v/>
      </c>
      <c r="V61" s="73" t="n"/>
      <c r="W61" s="70">
        <f>IF(C61="","",IF(AND(ISNUMBER(D61),D61=0),"✔ ไม่เคยทำ (ข้าม)",IF(COUNTA(D61:P61)=0,"○ ยังไม่เริ่ม",IF(IF(D61="","จำนวน/ปี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","")="","✔ ครบ","⏳ ขาด: "&amp;TRIM(IF(D61="","จำนวน/ปี ","")&amp;IF(E61="","ระยะเวลา ","")&amp;IF(F61="","D2ใช้(วัน) ","")&amp;IF(G61="","งบ ","")&amp;IF(H61="","อัตรากำลัง ","")&amp;IF(I61="","กฎหมาย ","")&amp;IF(J61="","ทรัพย์สิน ","")&amp;IF(K61="","ชื่อเสียง ","")&amp;IF(L61="","นโยบาย ","")&amp;IF(M61="","ผู้เชี่ยวชาญตรวจ ","")&amp;IF(N61="","D2เพิ่มคุณค่า ","")&amp;IF(O61="","D2ตีกลับ ","")&amp;IF(P61="","ข้อเสนอ ","")&amp;IF(AND(P61="เปลี่ยนเป็นหน่วยงานผู้เชี่ยวชาญ",Q61=""),"หน่วยงานผู้เชี่ยวชาญ ",""))))))</f>
        <v/>
      </c>
    </row>
    <row r="62">
      <c r="A62" s="72" t="n"/>
      <c r="B62" s="73" t="n"/>
      <c r="C62" s="73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69">
        <f>IF(COUNTA(G62:I62,M62)&lt;4,"",Settings!$C$5*(G62="Yes")+Settings!$C$6*(H62="Yes")+Settings!$C$7*(I62="Yes")+Settings!$C$8*(M62="No"))</f>
        <v/>
      </c>
      <c r="S62" s="69">
        <f>IF(R62="","",IF(R62&gt;=Settings!$C$13,"สูง",IF(R62&gt;=Settings!$C$12,"ปานกลาง","ต่ำ")))</f>
        <v/>
      </c>
      <c r="T62" s="70">
        <f>IF(OR(S62="",P62=""),"",IF(AND(S62="สูง",P62="ตัด D2"),"⚠ เสี่ยงสูงแต่เสนอตัด D2 — ควรทบทวน",IF(AND(S62="ต่ำ",P62="คง D2"),"ℹ เสี่ยงต่ำแต่เสนอคง D2 — อาจควบคุมเกินจำเป็น",IF(AND(P62="เปลี่ยนเป็นหน่วยงานผู้เชี่ยวชาญ",M62="No"),"⚠ เสนอโอน แต่ตอบว่ายังไม่มีผู้เชี่ยวชาญตรวจ",IF(AND(P62="เปลี่ยนเป็นหน่วยงานผู้เชี่ยวชาญ",Q62=""),"⚠ ยังไม่ระบุหน่วยงานผู้เชี่ยวชาญ","")))))</f>
        <v/>
      </c>
      <c r="U62" s="69">
        <f>IF(AND(P62="ตัด D2",ISNUMBER(D62),ISNUMBER(F62)),D62*F62,"")</f>
        <v/>
      </c>
      <c r="V62" s="73" t="n"/>
      <c r="W62" s="70">
        <f>IF(C62="","",IF(AND(ISNUMBER(D62),D62=0),"✔ ไม่เคยทำ (ข้าม)",IF(COUNTA(D62:P62)=0,"○ ยังไม่เริ่ม",IF(IF(D62="","จำนวน/ปี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","")="","✔ ครบ","⏳ ขาด: "&amp;TRIM(IF(D62="","จำนวน/ปี ","")&amp;IF(E62="","ระยะเวลา ","")&amp;IF(F62="","D2ใช้(วัน) ","")&amp;IF(G62="","งบ ","")&amp;IF(H62="","อัตรากำลัง ","")&amp;IF(I62="","กฎหมาย ","")&amp;IF(J62="","ทรัพย์สิน ","")&amp;IF(K62="","ชื่อเสียง ","")&amp;IF(L62="","นโยบาย ","")&amp;IF(M62="","ผู้เชี่ยวชาญตรวจ ","")&amp;IF(N62="","D2เพิ่มคุณค่า ","")&amp;IF(O62="","D2ตีกลับ ","")&amp;IF(P62="","ข้อเสนอ ","")&amp;IF(AND(P62="เปลี่ยนเป็นหน่วยงานผู้เชี่ยวชาญ",Q62=""),"หน่วยงานผู้เชี่ยวชาญ ",""))))))</f>
        <v/>
      </c>
    </row>
    <row r="63">
      <c r="A63" s="72" t="n"/>
      <c r="B63" s="73" t="n"/>
      <c r="C63" s="73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69">
        <f>IF(COUNTA(G63:I63,M63)&lt;4,"",Settings!$C$5*(G63="Yes")+Settings!$C$6*(H63="Yes")+Settings!$C$7*(I63="Yes")+Settings!$C$8*(M63="No"))</f>
        <v/>
      </c>
      <c r="S63" s="69">
        <f>IF(R63="","",IF(R63&gt;=Settings!$C$13,"สูง",IF(R63&gt;=Settings!$C$12,"ปานกลาง","ต่ำ")))</f>
        <v/>
      </c>
      <c r="T63" s="70">
        <f>IF(OR(S63="",P63=""),"",IF(AND(S63="สูง",P63="ตัด D2"),"⚠ เสี่ยงสูงแต่เสนอตัด D2 — ควรทบทวน",IF(AND(S63="ต่ำ",P63="คง D2"),"ℹ เสี่ยงต่ำแต่เสนอคง D2 — อาจควบคุมเกินจำเป็น",IF(AND(P63="เปลี่ยนเป็นหน่วยงานผู้เชี่ยวชาญ",M63="No"),"⚠ เสนอโอน แต่ตอบว่ายังไม่มีผู้เชี่ยวชาญตรวจ",IF(AND(P63="เปลี่ยนเป็นหน่วยงานผู้เชี่ยวชาญ",Q63=""),"⚠ ยังไม่ระบุหน่วยงานผู้เชี่ยวชาญ","")))))</f>
        <v/>
      </c>
      <c r="U63" s="69">
        <f>IF(AND(P63="ตัด D2",ISNUMBER(D63),ISNUMBER(F63)),D63*F63,"")</f>
        <v/>
      </c>
      <c r="V63" s="73" t="n"/>
      <c r="W63" s="70">
        <f>IF(C63="","",IF(AND(ISNUMBER(D63),D63=0),"✔ ไม่เคยทำ (ข้าม)",IF(COUNTA(D63:P63)=0,"○ ยังไม่เริ่ม",IF(IF(D63="","จำนวน/ปี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","")="","✔ ครบ","⏳ ขาด: "&amp;TRIM(IF(D63="","จำนวน/ปี ","")&amp;IF(E63="","ระยะเวลา ","")&amp;IF(F63="","D2ใช้(วัน) ","")&amp;IF(G63="","งบ ","")&amp;IF(H63="","อัตรากำลัง ","")&amp;IF(I63="","กฎหมาย ","")&amp;IF(J63="","ทรัพย์สิน ","")&amp;IF(K63="","ชื่อเสียง ","")&amp;IF(L63="","นโยบาย ","")&amp;IF(M63="","ผู้เชี่ยวชาญตรวจ ","")&amp;IF(N63="","D2เพิ่มคุณค่า ","")&amp;IF(O63="","D2ตีกลับ ","")&amp;IF(P63="","ข้อเสนอ ","")&amp;IF(AND(P63="เปลี่ยนเป็นหน่วยงานผู้เชี่ยวชาญ",Q63=""),"หน่วยงานผู้เชี่ยวชาญ ",""))))))</f>
        <v/>
      </c>
    </row>
    <row r="64">
      <c r="A64" s="72" t="n"/>
      <c r="B64" s="73" t="n"/>
      <c r="C64" s="73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69">
        <f>IF(COUNTA(G64:I64,M64)&lt;4,"",Settings!$C$5*(G64="Yes")+Settings!$C$6*(H64="Yes")+Settings!$C$7*(I64="Yes")+Settings!$C$8*(M64="No"))</f>
        <v/>
      </c>
      <c r="S64" s="69">
        <f>IF(R64="","",IF(R64&gt;=Settings!$C$13,"สูง",IF(R64&gt;=Settings!$C$12,"ปานกลาง","ต่ำ")))</f>
        <v/>
      </c>
      <c r="T64" s="70">
        <f>IF(OR(S64="",P64=""),"",IF(AND(S64="สูง",P64="ตัด D2"),"⚠ เสี่ยงสูงแต่เสนอตัด D2 — ควรทบทวน",IF(AND(S64="ต่ำ",P64="คง D2"),"ℹ เสี่ยงต่ำแต่เสนอคง D2 — อาจควบคุมเกินจำเป็น",IF(AND(P64="เปลี่ยนเป็นหน่วยงานผู้เชี่ยวชาญ",M64="No"),"⚠ เสนอโอน แต่ตอบว่ายังไม่มีผู้เชี่ยวชาญตรวจ",IF(AND(P64="เปลี่ยนเป็นหน่วยงานผู้เชี่ยวชาญ",Q64=""),"⚠ ยังไม่ระบุหน่วยงานผู้เชี่ยวชาญ","")))))</f>
        <v/>
      </c>
      <c r="U64" s="69">
        <f>IF(AND(P64="ตัด D2",ISNUMBER(D64),ISNUMBER(F64)),D64*F64,"")</f>
        <v/>
      </c>
      <c r="V64" s="73" t="n"/>
      <c r="W64" s="70">
        <f>IF(C64="","",IF(AND(ISNUMBER(D64),D64=0),"✔ ไม่เคยทำ (ข้าม)",IF(COUNTA(D64:P64)=0,"○ ยังไม่เริ่ม",IF(IF(D64="","จำนวน/ปี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","")="","✔ ครบ","⏳ ขาด: "&amp;TRIM(IF(D64="","จำนวน/ปี ","")&amp;IF(E64="","ระยะเวลา ","")&amp;IF(F64="","D2ใช้(วัน) ","")&amp;IF(G64="","งบ ","")&amp;IF(H64="","อัตรากำลัง ","")&amp;IF(I64="","กฎหมาย ","")&amp;IF(J64="","ทรัพย์สิน ","")&amp;IF(K64="","ชื่อเสียง ","")&amp;IF(L64="","นโยบาย ","")&amp;IF(M64="","ผู้เชี่ยวชาญตรวจ ","")&amp;IF(N64="","D2เพิ่มคุณค่า ","")&amp;IF(O64="","D2ตีกลับ ","")&amp;IF(P64="","ข้อเสนอ ","")&amp;IF(AND(P64="เปลี่ยนเป็นหน่วยงานผู้เชี่ยวชาญ",Q64=""),"หน่วยงานผู้เชี่ยวชาญ ",""))))))</f>
        <v/>
      </c>
    </row>
    <row r="65">
      <c r="A65" s="72" t="n"/>
      <c r="B65" s="73" t="n"/>
      <c r="C65" s="73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69">
        <f>IF(COUNTA(G65:I65,M65)&lt;4,"",Settings!$C$5*(G65="Yes")+Settings!$C$6*(H65="Yes")+Settings!$C$7*(I65="Yes")+Settings!$C$8*(M65="No"))</f>
        <v/>
      </c>
      <c r="S65" s="69">
        <f>IF(R65="","",IF(R65&gt;=Settings!$C$13,"สูง",IF(R65&gt;=Settings!$C$12,"ปานกลาง","ต่ำ")))</f>
        <v/>
      </c>
      <c r="T65" s="70">
        <f>IF(OR(S65="",P65=""),"",IF(AND(S65="สูง",P65="ตัด D2"),"⚠ เสี่ยงสูงแต่เสนอตัด D2 — ควรทบทวน",IF(AND(S65="ต่ำ",P65="คง D2"),"ℹ เสี่ยงต่ำแต่เสนอคง D2 — อาจควบคุมเกินจำเป็น",IF(AND(P65="เปลี่ยนเป็นหน่วยงานผู้เชี่ยวชาญ",M65="No"),"⚠ เสนอโอน แต่ตอบว่ายังไม่มีผู้เชี่ยวชาญตรวจ",IF(AND(P65="เปลี่ยนเป็นหน่วยงานผู้เชี่ยวชาญ",Q65=""),"⚠ ยังไม่ระบุหน่วยงานผู้เชี่ยวชาญ","")))))</f>
        <v/>
      </c>
      <c r="U65" s="69">
        <f>IF(AND(P65="ตัด D2",ISNUMBER(D65),ISNUMBER(F65)),D65*F65,"")</f>
        <v/>
      </c>
      <c r="V65" s="73" t="n"/>
      <c r="W65" s="70">
        <f>IF(C65="","",IF(AND(ISNUMBER(D65),D65=0),"✔ ไม่เคยทำ (ข้าม)",IF(COUNTA(D65:P65)=0,"○ ยังไม่เริ่ม",IF(IF(D65="","จำนวน/ปี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","")="","✔ ครบ","⏳ ขาด: "&amp;TRIM(IF(D65="","จำนวน/ปี ","")&amp;IF(E65="","ระยะเวลา ","")&amp;IF(F65="","D2ใช้(วัน) ","")&amp;IF(G65="","งบ ","")&amp;IF(H65="","อัตรากำลัง ","")&amp;IF(I65="","กฎหมาย ","")&amp;IF(J65="","ทรัพย์สิน ","")&amp;IF(K65="","ชื่อเสียง ","")&amp;IF(L65="","นโยบาย ","")&amp;IF(M65="","ผู้เชี่ยวชาญตรวจ ","")&amp;IF(N65="","D2เพิ่มคุณค่า ","")&amp;IF(O65="","D2ตีกลับ ","")&amp;IF(P65="","ข้อเสนอ ","")&amp;IF(AND(P65="เปลี่ยนเป็นหน่วยงานผู้เชี่ยวชาญ",Q65=""),"หน่วยงานผู้เชี่ยวชาญ ",""))))))</f>
        <v/>
      </c>
    </row>
    <row r="66">
      <c r="A66" s="72" t="n"/>
      <c r="B66" s="73" t="n"/>
      <c r="C66" s="73" t="n"/>
      <c r="D66" s="72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69">
        <f>IF(COUNTA(G66:I66,M66)&lt;4,"",Settings!$C$5*(G66="Yes")+Settings!$C$6*(H66="Yes")+Settings!$C$7*(I66="Yes")+Settings!$C$8*(M66="No"))</f>
        <v/>
      </c>
      <c r="S66" s="69">
        <f>IF(R66="","",IF(R66&gt;=Settings!$C$13,"สูง",IF(R66&gt;=Settings!$C$12,"ปานกลาง","ต่ำ")))</f>
        <v/>
      </c>
      <c r="T66" s="70">
        <f>IF(OR(S66="",P66=""),"",IF(AND(S66="สูง",P66="ตัด D2"),"⚠ เสี่ยงสูงแต่เสนอตัด D2 — ควรทบทวน",IF(AND(S66="ต่ำ",P66="คง D2"),"ℹ เสี่ยงต่ำแต่เสนอคง D2 — อาจควบคุมเกินจำเป็น",IF(AND(P66="เปลี่ยนเป็นหน่วยงานผู้เชี่ยวชาญ",M66="No"),"⚠ เสนอโอน แต่ตอบว่ายังไม่มีผู้เชี่ยวชาญตรวจ",IF(AND(P66="เปลี่ยนเป็นหน่วยงานผู้เชี่ยวชาญ",Q66=""),"⚠ ยังไม่ระบุหน่วยงานผู้เชี่ยวชาญ","")))))</f>
        <v/>
      </c>
      <c r="U66" s="69">
        <f>IF(AND(P66="ตัด D2",ISNUMBER(D66),ISNUMBER(F66)),D66*F66,"")</f>
        <v/>
      </c>
      <c r="V66" s="73" t="n"/>
      <c r="W66" s="70">
        <f>IF(C66="","",IF(AND(ISNUMBER(D66),D66=0),"✔ ไม่เคยทำ (ข้าม)",IF(COUNTA(D66:P66)=0,"○ ยังไม่เริ่ม",IF(IF(D66="","จำนวน/ปี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","")="","✔ ครบ","⏳ ขาด: "&amp;TRIM(IF(D66="","จำนวน/ปี ","")&amp;IF(E66="","ระยะเวลา ","")&amp;IF(F66="","D2ใช้(วัน) ","")&amp;IF(G66="","งบ ","")&amp;IF(H66="","อัตรากำลัง ","")&amp;IF(I66="","กฎหมาย ","")&amp;IF(J66="","ทรัพย์สิน ","")&amp;IF(K66="","ชื่อเสียง ","")&amp;IF(L66="","นโยบาย ","")&amp;IF(M66="","ผู้เชี่ยวชาญตรวจ ","")&amp;IF(N66="","D2เพิ่มคุณค่า ","")&amp;IF(O66="","D2ตีกลับ ","")&amp;IF(P66="","ข้อเสนอ ","")&amp;IF(AND(P66="เปลี่ยนเป็นหน่วยงานผู้เชี่ยวชาญ",Q66=""),"หน่วยงานผู้เชี่ยวชาญ ",""))))))</f>
        <v/>
      </c>
    </row>
    <row r="67">
      <c r="A67" s="72" t="n"/>
      <c r="B67" s="73" t="n"/>
      <c r="C67" s="73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69">
        <f>IF(COUNTA(G67:I67,M67)&lt;4,"",Settings!$C$5*(G67="Yes")+Settings!$C$6*(H67="Yes")+Settings!$C$7*(I67="Yes")+Settings!$C$8*(M67="No"))</f>
        <v/>
      </c>
      <c r="S67" s="69">
        <f>IF(R67="","",IF(R67&gt;=Settings!$C$13,"สูง",IF(R67&gt;=Settings!$C$12,"ปานกลาง","ต่ำ")))</f>
        <v/>
      </c>
      <c r="T67" s="70">
        <f>IF(OR(S67="",P67=""),"",IF(AND(S67="สูง",P67="ตัด D2"),"⚠ เสี่ยงสูงแต่เสนอตัด D2 — ควรทบทวน",IF(AND(S67="ต่ำ",P67="คง D2"),"ℹ เสี่ยงต่ำแต่เสนอคง D2 — อาจควบคุมเกินจำเป็น",IF(AND(P67="เปลี่ยนเป็นหน่วยงานผู้เชี่ยวชาญ",M67="No"),"⚠ เสนอโอน แต่ตอบว่ายังไม่มีผู้เชี่ยวชาญตรวจ",IF(AND(P67="เปลี่ยนเป็นหน่วยงานผู้เชี่ยวชาญ",Q67=""),"⚠ ยังไม่ระบุหน่วยงานผู้เชี่ยวชาญ","")))))</f>
        <v/>
      </c>
      <c r="U67" s="69">
        <f>IF(AND(P67="ตัด D2",ISNUMBER(D67),ISNUMBER(F67)),D67*F67,"")</f>
        <v/>
      </c>
      <c r="V67" s="73" t="n"/>
      <c r="W67" s="70">
        <f>IF(C67="","",IF(AND(ISNUMBER(D67),D67=0),"✔ ไม่เคยทำ (ข้าม)",IF(COUNTA(D67:P67)=0,"○ ยังไม่เริ่ม",IF(IF(D67="","จำนวน/ปี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","")="","✔ ครบ","⏳ ขาด: "&amp;TRIM(IF(D67="","จำนวน/ปี ","")&amp;IF(E67="","ระยะเวลา ","")&amp;IF(F67="","D2ใช้(วัน) ","")&amp;IF(G67="","งบ ","")&amp;IF(H67="","อัตรากำลัง ","")&amp;IF(I67="","กฎหมาย ","")&amp;IF(J67="","ทรัพย์สิน ","")&amp;IF(K67="","ชื่อเสียง ","")&amp;IF(L67="","นโยบาย ","")&amp;IF(M67="","ผู้เชี่ยวชาญตรวจ ","")&amp;IF(N67="","D2เพิ่มคุณค่า ","")&amp;IF(O67="","D2ตีกลับ ","")&amp;IF(P67="","ข้อเสนอ ","")&amp;IF(AND(P67="เปลี่ยนเป็นหน่วยงานผู้เชี่ยวชาญ",Q67=""),"หน่วยงานผู้เชี่ยวชาญ ",""))))))</f>
        <v/>
      </c>
    </row>
    <row r="68">
      <c r="A68" s="72" t="n"/>
      <c r="B68" s="73" t="n"/>
      <c r="C68" s="73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69">
        <f>IF(COUNTA(G68:I68,M68)&lt;4,"",Settings!$C$5*(G68="Yes")+Settings!$C$6*(H68="Yes")+Settings!$C$7*(I68="Yes")+Settings!$C$8*(M68="No"))</f>
        <v/>
      </c>
      <c r="S68" s="69">
        <f>IF(R68="","",IF(R68&gt;=Settings!$C$13,"สูง",IF(R68&gt;=Settings!$C$12,"ปานกลาง","ต่ำ")))</f>
        <v/>
      </c>
      <c r="T68" s="70">
        <f>IF(OR(S68="",P68=""),"",IF(AND(S68="สูง",P68="ตัด D2"),"⚠ เสี่ยงสูงแต่เสนอตัด D2 — ควรทบทวน",IF(AND(S68="ต่ำ",P68="คง D2"),"ℹ เสี่ยงต่ำแต่เสนอคง D2 — อาจควบคุมเกินจำเป็น",IF(AND(P68="เปลี่ยนเป็นหน่วยงานผู้เชี่ยวชาญ",M68="No"),"⚠ เสนอโอน แต่ตอบว่ายังไม่มีผู้เชี่ยวชาญตรวจ",IF(AND(P68="เปลี่ยนเป็นหน่วยงานผู้เชี่ยวชาญ",Q68=""),"⚠ ยังไม่ระบุหน่วยงานผู้เชี่ยวชาญ","")))))</f>
        <v/>
      </c>
      <c r="U68" s="69">
        <f>IF(AND(P68="ตัด D2",ISNUMBER(D68),ISNUMBER(F68)),D68*F68,"")</f>
        <v/>
      </c>
      <c r="V68" s="73" t="n"/>
      <c r="W68" s="70">
        <f>IF(C68="","",IF(AND(ISNUMBER(D68),D68=0),"✔ ไม่เคยทำ (ข้าม)",IF(COUNTA(D68:P68)=0,"○ ยังไม่เริ่ม",IF(IF(D68="","จำนวน/ปี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","")="","✔ ครบ","⏳ ขาด: "&amp;TRIM(IF(D68="","จำนวน/ปี ","")&amp;IF(E68="","ระยะเวลา ","")&amp;IF(F68="","D2ใช้(วัน) ","")&amp;IF(G68="","งบ ","")&amp;IF(H68="","อัตรากำลัง ","")&amp;IF(I68="","กฎหมาย ","")&amp;IF(J68="","ทรัพย์สิน ","")&amp;IF(K68="","ชื่อเสียง ","")&amp;IF(L68="","นโยบาย ","")&amp;IF(M68="","ผู้เชี่ยวชาญตรวจ ","")&amp;IF(N68="","D2เพิ่มคุณค่า ","")&amp;IF(O68="","D2ตีกลับ ","")&amp;IF(P68="","ข้อเสนอ ","")&amp;IF(AND(P68="เปลี่ยนเป็นหน่วยงานผู้เชี่ยวชาญ",Q68=""),"หน่วยงานผู้เชี่ยวชาญ ",""))))))</f>
        <v/>
      </c>
    </row>
    <row r="69">
      <c r="A69" s="72" t="n"/>
      <c r="B69" s="73" t="n"/>
      <c r="C69" s="73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69">
        <f>IF(COUNTA(G69:I69,M69)&lt;4,"",Settings!$C$5*(G69="Yes")+Settings!$C$6*(H69="Yes")+Settings!$C$7*(I69="Yes")+Settings!$C$8*(M69="No"))</f>
        <v/>
      </c>
      <c r="S69" s="69">
        <f>IF(R69="","",IF(R69&gt;=Settings!$C$13,"สูง",IF(R69&gt;=Settings!$C$12,"ปานกลาง","ต่ำ")))</f>
        <v/>
      </c>
      <c r="T69" s="70">
        <f>IF(OR(S69="",P69=""),"",IF(AND(S69="สูง",P69="ตัด D2"),"⚠ เสี่ยงสูงแต่เสนอตัด D2 — ควรทบทวน",IF(AND(S69="ต่ำ",P69="คง D2"),"ℹ เสี่ยงต่ำแต่เสนอคง D2 — อาจควบคุมเกินจำเป็น",IF(AND(P69="เปลี่ยนเป็นหน่วยงานผู้เชี่ยวชาญ",M69="No"),"⚠ เสนอโอน แต่ตอบว่ายังไม่มีผู้เชี่ยวชาญตรวจ",IF(AND(P69="เปลี่ยนเป็นหน่วยงานผู้เชี่ยวชาญ",Q69=""),"⚠ ยังไม่ระบุหน่วยงานผู้เชี่ยวชาญ","")))))</f>
        <v/>
      </c>
      <c r="U69" s="69">
        <f>IF(AND(P69="ตัด D2",ISNUMBER(D69),ISNUMBER(F69)),D69*F69,"")</f>
        <v/>
      </c>
      <c r="V69" s="73" t="n"/>
      <c r="W69" s="70">
        <f>IF(C69="","",IF(AND(ISNUMBER(D69),D69=0),"✔ ไม่เคยทำ (ข้าม)",IF(COUNTA(D69:P69)=0,"○ ยังไม่เริ่ม",IF(IF(D69="","จำนวน/ปี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","")="","✔ ครบ","⏳ ขาด: "&amp;TRIM(IF(D69="","จำนวน/ปี ","")&amp;IF(E69="","ระยะเวลา ","")&amp;IF(F69="","D2ใช้(วัน) ","")&amp;IF(G69="","งบ ","")&amp;IF(H69="","อัตรากำลัง ","")&amp;IF(I69="","กฎหมาย ","")&amp;IF(J69="","ทรัพย์สิน ","")&amp;IF(K69="","ชื่อเสียง ","")&amp;IF(L69="","นโยบาย ","")&amp;IF(M69="","ผู้เชี่ยวชาญตรวจ ","")&amp;IF(N69="","D2เพิ่มคุณค่า ","")&amp;IF(O69="","D2ตีกลับ ","")&amp;IF(P69="","ข้อเสนอ ","")&amp;IF(AND(P69="เปลี่ยนเป็นหน่วยงานผู้เชี่ยวชาญ",Q69=""),"หน่วยงานผู้เชี่ยวชาญ ",""))))))</f>
        <v/>
      </c>
    </row>
    <row r="70">
      <c r="A70" s="72" t="n"/>
      <c r="B70" s="73" t="n"/>
      <c r="C70" s="73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69">
        <f>IF(COUNTA(G70:I70,M70)&lt;4,"",Settings!$C$5*(G70="Yes")+Settings!$C$6*(H70="Yes")+Settings!$C$7*(I70="Yes")+Settings!$C$8*(M70="No"))</f>
        <v/>
      </c>
      <c r="S70" s="69">
        <f>IF(R70="","",IF(R70&gt;=Settings!$C$13,"สูง",IF(R70&gt;=Settings!$C$12,"ปานกลาง","ต่ำ")))</f>
        <v/>
      </c>
      <c r="T70" s="70">
        <f>IF(OR(S70="",P70=""),"",IF(AND(S70="สูง",P70="ตัด D2"),"⚠ เสี่ยงสูงแต่เสนอตัด D2 — ควรทบทวน",IF(AND(S70="ต่ำ",P70="คง D2"),"ℹ เสี่ยงต่ำแต่เสนอคง D2 — อาจควบคุมเกินจำเป็น",IF(AND(P70="เปลี่ยนเป็นหน่วยงานผู้เชี่ยวชาญ",M70="No"),"⚠ เสนอโอน แต่ตอบว่ายังไม่มีผู้เชี่ยวชาญตรวจ",IF(AND(P70="เปลี่ยนเป็นหน่วยงานผู้เชี่ยวชาญ",Q70=""),"⚠ ยังไม่ระบุหน่วยงานผู้เชี่ยวชาญ","")))))</f>
        <v/>
      </c>
      <c r="U70" s="69">
        <f>IF(AND(P70="ตัด D2",ISNUMBER(D70),ISNUMBER(F70)),D70*F70,"")</f>
        <v/>
      </c>
      <c r="V70" s="73" t="n"/>
      <c r="W70" s="70">
        <f>IF(C70="","",IF(AND(ISNUMBER(D70),D70=0),"✔ ไม่เคยทำ (ข้าม)",IF(COUNTA(D70:P70)=0,"○ ยังไม่เริ่ม",IF(IF(D70="","จำนวน/ปี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","")="","✔ ครบ","⏳ ขาด: "&amp;TRIM(IF(D70="","จำนวน/ปี ","")&amp;IF(E70="","ระยะเวลา ","")&amp;IF(F70="","D2ใช้(วัน) ","")&amp;IF(G70="","งบ ","")&amp;IF(H70="","อัตรากำลัง ","")&amp;IF(I70="","กฎหมาย ","")&amp;IF(J70="","ทรัพย์สิน ","")&amp;IF(K70="","ชื่อเสียง ","")&amp;IF(L70="","นโยบาย ","")&amp;IF(M70="","ผู้เชี่ยวชาญตรวจ ","")&amp;IF(N70="","D2เพิ่มคุณค่า ","")&amp;IF(O70="","D2ตีกลับ ","")&amp;IF(P70="","ข้อเสนอ ","")&amp;IF(AND(P70="เปลี่ยนเป็นหน่วยงานผู้เชี่ยวชาญ",Q70=""),"หน่วยงานผู้เชี่ยวชาญ ",""))))))</f>
        <v/>
      </c>
    </row>
    <row r="71">
      <c r="A71" s="72" t="n"/>
      <c r="B71" s="73" t="n"/>
      <c r="C71" s="73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69">
        <f>IF(COUNTA(G71:I71,M71)&lt;4,"",Settings!$C$5*(G71="Yes")+Settings!$C$6*(H71="Yes")+Settings!$C$7*(I71="Yes")+Settings!$C$8*(M71="No"))</f>
        <v/>
      </c>
      <c r="S71" s="69">
        <f>IF(R71="","",IF(R71&gt;=Settings!$C$13,"สูง",IF(R71&gt;=Settings!$C$12,"ปานกลาง","ต่ำ")))</f>
        <v/>
      </c>
      <c r="T71" s="70">
        <f>IF(OR(S71="",P71=""),"",IF(AND(S71="สูง",P71="ตัด D2"),"⚠ เสี่ยงสูงแต่เสนอตัด D2 — ควรทบทวน",IF(AND(S71="ต่ำ",P71="คง D2"),"ℹ เสี่ยงต่ำแต่เสนอคง D2 — อาจควบคุมเกินจำเป็น",IF(AND(P71="เปลี่ยนเป็นหน่วยงานผู้เชี่ยวชาญ",M71="No"),"⚠ เสนอโอน แต่ตอบว่ายังไม่มีผู้เชี่ยวชาญตรวจ",IF(AND(P71="เปลี่ยนเป็นหน่วยงานผู้เชี่ยวชาญ",Q71=""),"⚠ ยังไม่ระบุหน่วยงานผู้เชี่ยวชาญ","")))))</f>
        <v/>
      </c>
      <c r="U71" s="69">
        <f>IF(AND(P71="ตัด D2",ISNUMBER(D71),ISNUMBER(F71)),D71*F71,"")</f>
        <v/>
      </c>
      <c r="V71" s="73" t="n"/>
      <c r="W71" s="70">
        <f>IF(C71="","",IF(AND(ISNUMBER(D71),D71=0),"✔ ไม่เคยทำ (ข้าม)",IF(COUNTA(D71:P71)=0,"○ ยังไม่เริ่ม",IF(IF(D71="","จำนวน/ปี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","")="","✔ ครบ","⏳ ขาด: "&amp;TRIM(IF(D71="","จำนวน/ปี ","")&amp;IF(E71="","ระยะเวลา ","")&amp;IF(F71="","D2ใช้(วัน) ","")&amp;IF(G71="","งบ ","")&amp;IF(H71="","อัตรากำลัง ","")&amp;IF(I71="","กฎหมาย ","")&amp;IF(J71="","ทรัพย์สิน ","")&amp;IF(K71="","ชื่อเสียง ","")&amp;IF(L71="","นโยบาย ","")&amp;IF(M71="","ผู้เชี่ยวชาญตรวจ ","")&amp;IF(N71="","D2เพิ่มคุณค่า ","")&amp;IF(O71="","D2ตีกลับ ","")&amp;IF(P71="","ข้อเสนอ ","")&amp;IF(AND(P71="เปลี่ยนเป็นหน่วยงานผู้เชี่ยวชาญ",Q71=""),"หน่วยงานผู้เชี่ยวชาญ ",""))))))</f>
        <v/>
      </c>
    </row>
    <row r="72">
      <c r="A72" s="72" t="n"/>
      <c r="B72" s="73" t="n"/>
      <c r="C72" s="73" t="n"/>
      <c r="D72" s="72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69">
        <f>IF(COUNTA(G72:I72,M72)&lt;4,"",Settings!$C$5*(G72="Yes")+Settings!$C$6*(H72="Yes")+Settings!$C$7*(I72="Yes")+Settings!$C$8*(M72="No"))</f>
        <v/>
      </c>
      <c r="S72" s="69">
        <f>IF(R72="","",IF(R72&gt;=Settings!$C$13,"สูง",IF(R72&gt;=Settings!$C$12,"ปานกลาง","ต่ำ")))</f>
        <v/>
      </c>
      <c r="T72" s="70">
        <f>IF(OR(S72="",P72=""),"",IF(AND(S72="สูง",P72="ตัด D2"),"⚠ เสี่ยงสูงแต่เสนอตัด D2 — ควรทบทวน",IF(AND(S72="ต่ำ",P72="คง D2"),"ℹ เสี่ยงต่ำแต่เสนอคง D2 — อาจควบคุมเกินจำเป็น",IF(AND(P72="เปลี่ยนเป็นหน่วยงานผู้เชี่ยวชาญ",M72="No"),"⚠ เสนอโอน แต่ตอบว่ายังไม่มีผู้เชี่ยวชาญตรวจ",IF(AND(P72="เปลี่ยนเป็นหน่วยงานผู้เชี่ยวชาญ",Q72=""),"⚠ ยังไม่ระบุหน่วยงานผู้เชี่ยวชาญ","")))))</f>
        <v/>
      </c>
      <c r="U72" s="69">
        <f>IF(AND(P72="ตัด D2",ISNUMBER(D72),ISNUMBER(F72)),D72*F72,"")</f>
        <v/>
      </c>
      <c r="V72" s="73" t="n"/>
      <c r="W72" s="70">
        <f>IF(C72="","",IF(AND(ISNUMBER(D72),D72=0),"✔ ไม่เคยทำ (ข้าม)",IF(COUNTA(D72:P72)=0,"○ ยังไม่เริ่ม",IF(IF(D72="","จำนวน/ปี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","")="","✔ ครบ","⏳ ขาด: "&amp;TRIM(IF(D72="","จำนวน/ปี ","")&amp;IF(E72="","ระยะเวลา ","")&amp;IF(F72="","D2ใช้(วัน) ","")&amp;IF(G72="","งบ ","")&amp;IF(H72="","อัตรากำลัง ","")&amp;IF(I72="","กฎหมาย ","")&amp;IF(J72="","ทรัพย์สิน ","")&amp;IF(K72="","ชื่อเสียง ","")&amp;IF(L72="","นโยบาย ","")&amp;IF(M72="","ผู้เชี่ยวชาญตรวจ ","")&amp;IF(N72="","D2เพิ่มคุณค่า ","")&amp;IF(O72="","D2ตีกลับ ","")&amp;IF(P72="","ข้อเสนอ ","")&amp;IF(AND(P72="เปลี่ยนเป็นหน่วยงานผู้เชี่ยวชาญ",Q72=""),"หน่วยงานผู้เชี่ยวชาญ ",""))))))</f>
        <v/>
      </c>
    </row>
    <row r="73">
      <c r="A73" s="72" t="n"/>
      <c r="B73" s="73" t="n"/>
      <c r="C73" s="73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69">
        <f>IF(COUNTA(G73:I73,M73)&lt;4,"",Settings!$C$5*(G73="Yes")+Settings!$C$6*(H73="Yes")+Settings!$C$7*(I73="Yes")+Settings!$C$8*(M73="No"))</f>
        <v/>
      </c>
      <c r="S73" s="69">
        <f>IF(R73="","",IF(R73&gt;=Settings!$C$13,"สูง",IF(R73&gt;=Settings!$C$12,"ปานกลาง","ต่ำ")))</f>
        <v/>
      </c>
      <c r="T73" s="70">
        <f>IF(OR(S73="",P73=""),"",IF(AND(S73="สูง",P73="ตัด D2"),"⚠ เสี่ยงสูงแต่เสนอตัด D2 — ควรทบทวน",IF(AND(S73="ต่ำ",P73="คง D2"),"ℹ เสี่ยงต่ำแต่เสนอคง D2 — อาจควบคุมเกินจำเป็น",IF(AND(P73="เปลี่ยนเป็นหน่วยงานผู้เชี่ยวชาญ",M73="No"),"⚠ เสนอโอน แต่ตอบว่ายังไม่มีผู้เชี่ยวชาญตรวจ",IF(AND(P73="เปลี่ยนเป็นหน่วยงานผู้เชี่ยวชาญ",Q73=""),"⚠ ยังไม่ระบุหน่วยงานผู้เชี่ยวชาญ","")))))</f>
        <v/>
      </c>
      <c r="U73" s="69">
        <f>IF(AND(P73="ตัด D2",ISNUMBER(D73),ISNUMBER(F73)),D73*F73,"")</f>
        <v/>
      </c>
      <c r="V73" s="73" t="n"/>
      <c r="W73" s="70">
        <f>IF(C73="","",IF(AND(ISNUMBER(D73),D73=0),"✔ ไม่เคยทำ (ข้าม)",IF(COUNTA(D73:P73)=0,"○ ยังไม่เริ่ม",IF(IF(D73="","จำนวน/ปี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","")="","✔ ครบ","⏳ ขาด: "&amp;TRIM(IF(D73="","จำนวน/ปี ","")&amp;IF(E73="","ระยะเวลา ","")&amp;IF(F73="","D2ใช้(วัน) ","")&amp;IF(G73="","งบ ","")&amp;IF(H73="","อัตรากำลัง ","")&amp;IF(I73="","กฎหมาย ","")&amp;IF(J73="","ทรัพย์สิน ","")&amp;IF(K73="","ชื่อเสียง ","")&amp;IF(L73="","นโยบาย ","")&amp;IF(M73="","ผู้เชี่ยวชาญตรวจ ","")&amp;IF(N73="","D2เพิ่มคุณค่า ","")&amp;IF(O73="","D2ตีกลับ ","")&amp;IF(P73="","ข้อเสนอ ","")&amp;IF(AND(P73="เปลี่ยนเป็นหน่วยงานผู้เชี่ยวชาญ",Q73=""),"หน่วยงานผู้เชี่ยวชาญ ",""))))))</f>
        <v/>
      </c>
    </row>
    <row r="74">
      <c r="A74" s="72" t="n"/>
      <c r="B74" s="73" t="n"/>
      <c r="C74" s="73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69">
        <f>IF(COUNTA(G74:I74,M74)&lt;4,"",Settings!$C$5*(G74="Yes")+Settings!$C$6*(H74="Yes")+Settings!$C$7*(I74="Yes")+Settings!$C$8*(M74="No"))</f>
        <v/>
      </c>
      <c r="S74" s="69">
        <f>IF(R74="","",IF(R74&gt;=Settings!$C$13,"สูง",IF(R74&gt;=Settings!$C$12,"ปานกลาง","ต่ำ")))</f>
        <v/>
      </c>
      <c r="T74" s="70">
        <f>IF(OR(S74="",P74=""),"",IF(AND(S74="สูง",P74="ตัด D2"),"⚠ เสี่ยงสูงแต่เสนอตัด D2 — ควรทบทวน",IF(AND(S74="ต่ำ",P74="คง D2"),"ℹ เสี่ยงต่ำแต่เสนอคง D2 — อาจควบคุมเกินจำเป็น",IF(AND(P74="เปลี่ยนเป็นหน่วยงานผู้เชี่ยวชาญ",M74="No"),"⚠ เสนอโอน แต่ตอบว่ายังไม่มีผู้เชี่ยวชาญตรวจ",IF(AND(P74="เปลี่ยนเป็นหน่วยงานผู้เชี่ยวชาญ",Q74=""),"⚠ ยังไม่ระบุหน่วยงานผู้เชี่ยวชาญ","")))))</f>
        <v/>
      </c>
      <c r="U74" s="69">
        <f>IF(AND(P74="ตัด D2",ISNUMBER(D74),ISNUMBER(F74)),D74*F74,"")</f>
        <v/>
      </c>
      <c r="V74" s="73" t="n"/>
      <c r="W74" s="70">
        <f>IF(C74="","",IF(AND(ISNUMBER(D74),D74=0),"✔ ไม่เคยทำ (ข้าม)",IF(COUNTA(D74:P74)=0,"○ ยังไม่เริ่ม",IF(IF(D74="","จำนวน/ปี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","")="","✔ ครบ","⏳ ขาด: "&amp;TRIM(IF(D74="","จำนวน/ปี ","")&amp;IF(E74="","ระยะเวลา ","")&amp;IF(F74="","D2ใช้(วัน) ","")&amp;IF(G74="","งบ ","")&amp;IF(H74="","อัตรากำลัง ","")&amp;IF(I74="","กฎหมาย ","")&amp;IF(J74="","ทรัพย์สิน ","")&amp;IF(K74="","ชื่อเสียง ","")&amp;IF(L74="","นโยบาย ","")&amp;IF(M74="","ผู้เชี่ยวชาญตรวจ ","")&amp;IF(N74="","D2เพิ่มคุณค่า ","")&amp;IF(O74="","D2ตีกลับ ","")&amp;IF(P74="","ข้อเสนอ ","")&amp;IF(AND(P74="เปลี่ยนเป็นหน่วยงานผู้เชี่ยวชาญ",Q74=""),"หน่วยงานผู้เชี่ยวชาญ ",""))))))</f>
        <v/>
      </c>
    </row>
    <row r="75">
      <c r="A75" s="72" t="n"/>
      <c r="B75" s="73" t="n"/>
      <c r="C75" s="73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69">
        <f>IF(COUNTA(G75:I75,M75)&lt;4,"",Settings!$C$5*(G75="Yes")+Settings!$C$6*(H75="Yes")+Settings!$C$7*(I75="Yes")+Settings!$C$8*(M75="No"))</f>
        <v/>
      </c>
      <c r="S75" s="69">
        <f>IF(R75="","",IF(R75&gt;=Settings!$C$13,"สูง",IF(R75&gt;=Settings!$C$12,"ปานกลาง","ต่ำ")))</f>
        <v/>
      </c>
      <c r="T75" s="70">
        <f>IF(OR(S75="",P75=""),"",IF(AND(S75="สูง",P75="ตัด D2"),"⚠ เสี่ยงสูงแต่เสนอตัด D2 — ควรทบทวน",IF(AND(S75="ต่ำ",P75="คง D2"),"ℹ เสี่ยงต่ำแต่เสนอคง D2 — อาจควบคุมเกินจำเป็น",IF(AND(P75="เปลี่ยนเป็นหน่วยงานผู้เชี่ยวชาญ",M75="No"),"⚠ เสนอโอน แต่ตอบว่ายังไม่มีผู้เชี่ยวชาญตรวจ",IF(AND(P75="เปลี่ยนเป็นหน่วยงานผู้เชี่ยวชาญ",Q75=""),"⚠ ยังไม่ระบุหน่วยงานผู้เชี่ยวชาญ","")))))</f>
        <v/>
      </c>
      <c r="U75" s="69">
        <f>IF(AND(P75="ตัด D2",ISNUMBER(D75),ISNUMBER(F75)),D75*F75,"")</f>
        <v/>
      </c>
      <c r="V75" s="73" t="n"/>
      <c r="W75" s="70">
        <f>IF(C75="","",IF(AND(ISNUMBER(D75),D75=0),"✔ ไม่เคยทำ (ข้าม)",IF(COUNTA(D75:P75)=0,"○ ยังไม่เริ่ม",IF(IF(D75="","จำนวน/ปี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","")="","✔ ครบ","⏳ ขาด: "&amp;TRIM(IF(D75="","จำนวน/ปี ","")&amp;IF(E75="","ระยะเวลา ","")&amp;IF(F75="","D2ใช้(วัน) ","")&amp;IF(G75="","งบ ","")&amp;IF(H75="","อัตรากำลัง ","")&amp;IF(I75="","กฎหมาย ","")&amp;IF(J75="","ทรัพย์สิน ","")&amp;IF(K75="","ชื่อเสียง ","")&amp;IF(L75="","นโยบาย ","")&amp;IF(M75="","ผู้เชี่ยวชาญตรวจ ","")&amp;IF(N75="","D2เพิ่มคุณค่า ","")&amp;IF(O75="","D2ตีกลับ ","")&amp;IF(P75="","ข้อเสนอ ","")&amp;IF(AND(P75="เปลี่ยนเป็นหน่วยงานผู้เชี่ยวชาญ",Q75=""),"หน่วยงานผู้เชี่ยวชาญ ",""))))))</f>
        <v/>
      </c>
    </row>
    <row r="76">
      <c r="A76" s="72" t="n"/>
      <c r="B76" s="73" t="n"/>
      <c r="C76" s="73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69">
        <f>IF(COUNTA(G76:I76,M76)&lt;4,"",Settings!$C$5*(G76="Yes")+Settings!$C$6*(H76="Yes")+Settings!$C$7*(I76="Yes")+Settings!$C$8*(M76="No"))</f>
        <v/>
      </c>
      <c r="S76" s="69">
        <f>IF(R76="","",IF(R76&gt;=Settings!$C$13,"สูง",IF(R76&gt;=Settings!$C$12,"ปานกลาง","ต่ำ")))</f>
        <v/>
      </c>
      <c r="T76" s="70">
        <f>IF(OR(S76="",P76=""),"",IF(AND(S76="สูง",P76="ตัด D2"),"⚠ เสี่ยงสูงแต่เสนอตัด D2 — ควรทบทวน",IF(AND(S76="ต่ำ",P76="คง D2"),"ℹ เสี่ยงต่ำแต่เสนอคง D2 — อาจควบคุมเกินจำเป็น",IF(AND(P76="เปลี่ยนเป็นหน่วยงานผู้เชี่ยวชาญ",M76="No"),"⚠ เสนอโอน แต่ตอบว่ายังไม่มีผู้เชี่ยวชาญตรวจ",IF(AND(P76="เปลี่ยนเป็นหน่วยงานผู้เชี่ยวชาญ",Q76=""),"⚠ ยังไม่ระบุหน่วยงานผู้เชี่ยวชาญ","")))))</f>
        <v/>
      </c>
      <c r="U76" s="69">
        <f>IF(AND(P76="ตัด D2",ISNUMBER(D76),ISNUMBER(F76)),D76*F76,"")</f>
        <v/>
      </c>
      <c r="V76" s="73" t="n"/>
      <c r="W76" s="70">
        <f>IF(C76="","",IF(AND(ISNUMBER(D76),D76=0),"✔ ไม่เคยทำ (ข้าม)",IF(COUNTA(D76:P76)=0,"○ ยังไม่เริ่ม",IF(IF(D76="","จำนวน/ปี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","")="","✔ ครบ","⏳ ขาด: "&amp;TRIM(IF(D76="","จำนวน/ปี ","")&amp;IF(E76="","ระยะเวลา ","")&amp;IF(F76="","D2ใช้(วัน) ","")&amp;IF(G76="","งบ ","")&amp;IF(H76="","อัตรากำลัง ","")&amp;IF(I76="","กฎหมาย ","")&amp;IF(J76="","ทรัพย์สิน ","")&amp;IF(K76="","ชื่อเสียง ","")&amp;IF(L76="","นโยบาย ","")&amp;IF(M76="","ผู้เชี่ยวชาญตรวจ ","")&amp;IF(N76="","D2เพิ่มคุณค่า ","")&amp;IF(O76="","D2ตีกลับ ","")&amp;IF(P76="","ข้อเสนอ ","")&amp;IF(AND(P76="เปลี่ยนเป็นหน่วยงานผู้เชี่ยวชาญ",Q76=""),"หน่วยงานผู้เชี่ยวชาญ ",""))))))</f>
        <v/>
      </c>
    </row>
    <row r="77">
      <c r="A77" s="72" t="n"/>
      <c r="B77" s="73" t="n"/>
      <c r="C77" s="73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69">
        <f>IF(COUNTA(G77:I77,M77)&lt;4,"",Settings!$C$5*(G77="Yes")+Settings!$C$6*(H77="Yes")+Settings!$C$7*(I77="Yes")+Settings!$C$8*(M77="No"))</f>
        <v/>
      </c>
      <c r="S77" s="69">
        <f>IF(R77="","",IF(R77&gt;=Settings!$C$13,"สูง",IF(R77&gt;=Settings!$C$12,"ปานกลาง","ต่ำ")))</f>
        <v/>
      </c>
      <c r="T77" s="70">
        <f>IF(OR(S77="",P77=""),"",IF(AND(S77="สูง",P77="ตัด D2"),"⚠ เสี่ยงสูงแต่เสนอตัด D2 — ควรทบทวน",IF(AND(S77="ต่ำ",P77="คง D2"),"ℹ เสี่ยงต่ำแต่เสนอคง D2 — อาจควบคุมเกินจำเป็น",IF(AND(P77="เปลี่ยนเป็นหน่วยงานผู้เชี่ยวชาญ",M77="No"),"⚠ เสนอโอน แต่ตอบว่ายังไม่มีผู้เชี่ยวชาญตรวจ",IF(AND(P77="เปลี่ยนเป็นหน่วยงานผู้เชี่ยวชาญ",Q77=""),"⚠ ยังไม่ระบุหน่วยงานผู้เชี่ยวชาญ","")))))</f>
        <v/>
      </c>
      <c r="U77" s="69">
        <f>IF(AND(P77="ตัด D2",ISNUMBER(D77),ISNUMBER(F77)),D77*F77,"")</f>
        <v/>
      </c>
      <c r="V77" s="73" t="n"/>
      <c r="W77" s="70">
        <f>IF(C77="","",IF(AND(ISNUMBER(D77),D77=0),"✔ ไม่เคยทำ (ข้าม)",IF(COUNTA(D77:P77)=0,"○ ยังไม่เริ่ม",IF(IF(D77="","จำนวน/ปี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","")="","✔ ครบ","⏳ ขาด: "&amp;TRIM(IF(D77="","จำนวน/ปี ","")&amp;IF(E77="","ระยะเวลา ","")&amp;IF(F77="","D2ใช้(วัน) ","")&amp;IF(G77="","งบ ","")&amp;IF(H77="","อัตรากำลัง ","")&amp;IF(I77="","กฎหมาย ","")&amp;IF(J77="","ทรัพย์สิน ","")&amp;IF(K77="","ชื่อเสียง ","")&amp;IF(L77="","นโยบาย ","")&amp;IF(M77="","ผู้เชี่ยวชาญตรวจ ","")&amp;IF(N77="","D2เพิ่มคุณค่า ","")&amp;IF(O77="","D2ตีกลับ ","")&amp;IF(P77="","ข้อเสนอ ","")&amp;IF(AND(P77="เปลี่ยนเป็นหน่วยงานผู้เชี่ยวชาญ",Q77=""),"หน่วยงานผู้เชี่ยวชาญ ",""))))))</f>
        <v/>
      </c>
    </row>
    <row r="78">
      <c r="A78" s="72" t="n"/>
      <c r="B78" s="73" t="n"/>
      <c r="C78" s="73" t="n"/>
      <c r="D78" s="72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  <c r="N78" s="72" t="n"/>
      <c r="O78" s="72" t="n"/>
      <c r="P78" s="72" t="n"/>
      <c r="Q78" s="72" t="n"/>
      <c r="R78" s="69">
        <f>IF(COUNTA(G78:I78,M78)&lt;4,"",Settings!$C$5*(G78="Yes")+Settings!$C$6*(H78="Yes")+Settings!$C$7*(I78="Yes")+Settings!$C$8*(M78="No"))</f>
        <v/>
      </c>
      <c r="S78" s="69">
        <f>IF(R78="","",IF(R78&gt;=Settings!$C$13,"สูง",IF(R78&gt;=Settings!$C$12,"ปานกลาง","ต่ำ")))</f>
        <v/>
      </c>
      <c r="T78" s="70">
        <f>IF(OR(S78="",P78=""),"",IF(AND(S78="สูง",P78="ตัด D2"),"⚠ เสี่ยงสูงแต่เสนอตัด D2 — ควรทบทวน",IF(AND(S78="ต่ำ",P78="คง D2"),"ℹ เสี่ยงต่ำแต่เสนอคง D2 — อาจควบคุมเกินจำเป็น",IF(AND(P78="เปลี่ยนเป็นหน่วยงานผู้เชี่ยวชาญ",M78="No"),"⚠ เสนอโอน แต่ตอบว่ายังไม่มีผู้เชี่ยวชาญตรวจ",IF(AND(P78="เปลี่ยนเป็นหน่วยงานผู้เชี่ยวชาญ",Q78=""),"⚠ ยังไม่ระบุหน่วยงานผู้เชี่ยวชาญ","")))))</f>
        <v/>
      </c>
      <c r="U78" s="69">
        <f>IF(AND(P78="ตัด D2",ISNUMBER(D78),ISNUMBER(F78)),D78*F78,"")</f>
        <v/>
      </c>
      <c r="V78" s="73" t="n"/>
      <c r="W78" s="70">
        <f>IF(C78="","",IF(AND(ISNUMBER(D78),D78=0),"✔ ไม่เคยทำ (ข้าม)",IF(COUNTA(D78:P78)=0,"○ ยังไม่เริ่ม",IF(IF(D78="","จำนวน/ปี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","")="","✔ ครบ","⏳ ขาด: "&amp;TRIM(IF(D78="","จำนวน/ปี ","")&amp;IF(E78="","ระยะเวลา ","")&amp;IF(F78="","D2ใช้(วัน) ","")&amp;IF(G78="","งบ ","")&amp;IF(H78="","อัตรากำลัง ","")&amp;IF(I78="","กฎหมาย ","")&amp;IF(J78="","ทรัพย์สิน ","")&amp;IF(K78="","ชื่อเสียง ","")&amp;IF(L78="","นโยบาย ","")&amp;IF(M78="","ผู้เชี่ยวชาญตรวจ ","")&amp;IF(N78="","D2เพิ่มคุณค่า ","")&amp;IF(O78="","D2ตีกลับ ","")&amp;IF(P78="","ข้อเสนอ ","")&amp;IF(AND(P78="เปลี่ยนเป็นหน่วยงานผู้เชี่ยวชาญ",Q78=""),"หน่วยงานผู้เชี่ยวชาญ ",""))))))</f>
        <v/>
      </c>
    </row>
    <row r="79">
      <c r="A79" s="72" t="n"/>
      <c r="B79" s="73" t="n"/>
      <c r="C79" s="73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69">
        <f>IF(COUNTA(G79:I79,M79)&lt;4,"",Settings!$C$5*(G79="Yes")+Settings!$C$6*(H79="Yes")+Settings!$C$7*(I79="Yes")+Settings!$C$8*(M79="No"))</f>
        <v/>
      </c>
      <c r="S79" s="69">
        <f>IF(R79="","",IF(R79&gt;=Settings!$C$13,"สูง",IF(R79&gt;=Settings!$C$12,"ปานกลาง","ต่ำ")))</f>
        <v/>
      </c>
      <c r="T79" s="70">
        <f>IF(OR(S79="",P79=""),"",IF(AND(S79="สูง",P79="ตัด D2"),"⚠ เสี่ยงสูงแต่เสนอตัด D2 — ควรทบทวน",IF(AND(S79="ต่ำ",P79="คง D2"),"ℹ เสี่ยงต่ำแต่เสนอคง D2 — อาจควบคุมเกินจำเป็น",IF(AND(P79="เปลี่ยนเป็นหน่วยงานผู้เชี่ยวชาญ",M79="No"),"⚠ เสนอโอน แต่ตอบว่ายังไม่มีผู้เชี่ยวชาญตรวจ",IF(AND(P79="เปลี่ยนเป็นหน่วยงานผู้เชี่ยวชาญ",Q79=""),"⚠ ยังไม่ระบุหน่วยงานผู้เชี่ยวชาญ","")))))</f>
        <v/>
      </c>
      <c r="U79" s="69">
        <f>IF(AND(P79="ตัด D2",ISNUMBER(D79),ISNUMBER(F79)),D79*F79,"")</f>
        <v/>
      </c>
      <c r="V79" s="73" t="n"/>
      <c r="W79" s="70">
        <f>IF(C79="","",IF(AND(ISNUMBER(D79),D79=0),"✔ ไม่เคยทำ (ข้าม)",IF(COUNTA(D79:P79)=0,"○ ยังไม่เริ่ม",IF(IF(D79="","จำนวน/ปี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","")="","✔ ครบ","⏳ ขาด: "&amp;TRIM(IF(D79="","จำนวน/ปี ","")&amp;IF(E79="","ระยะเวลา ","")&amp;IF(F79="","D2ใช้(วัน) ","")&amp;IF(G79="","งบ ","")&amp;IF(H79="","อัตรากำลัง ","")&amp;IF(I79="","กฎหมาย ","")&amp;IF(J79="","ทรัพย์สิน ","")&amp;IF(K79="","ชื่อเสียง ","")&amp;IF(L79="","นโยบาย ","")&amp;IF(M79="","ผู้เชี่ยวชาญตรวจ ","")&amp;IF(N79="","D2เพิ่มคุณค่า ","")&amp;IF(O79="","D2ตีกลับ ","")&amp;IF(P79="","ข้อเสนอ ","")&amp;IF(AND(P79="เปลี่ยนเป็นหน่วยงานผู้เชี่ยวชาญ",Q79=""),"หน่วยงานผู้เชี่ยวชาญ ",""))))))</f>
        <v/>
      </c>
    </row>
    <row r="80">
      <c r="A80" s="72" t="n"/>
      <c r="B80" s="73" t="n"/>
      <c r="C80" s="73" t="n"/>
      <c r="D80" s="72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69">
        <f>IF(COUNTA(G80:I80,M80)&lt;4,"",Settings!$C$5*(G80="Yes")+Settings!$C$6*(H80="Yes")+Settings!$C$7*(I80="Yes")+Settings!$C$8*(M80="No"))</f>
        <v/>
      </c>
      <c r="S80" s="69">
        <f>IF(R80="","",IF(R80&gt;=Settings!$C$13,"สูง",IF(R80&gt;=Settings!$C$12,"ปานกลาง","ต่ำ")))</f>
        <v/>
      </c>
      <c r="T80" s="70">
        <f>IF(OR(S80="",P80=""),"",IF(AND(S80="สูง",P80="ตัด D2"),"⚠ เสี่ยงสูงแต่เสนอตัด D2 — ควรทบทวน",IF(AND(S80="ต่ำ",P80="คง D2"),"ℹ เสี่ยงต่ำแต่เสนอคง D2 — อาจควบคุมเกินจำเป็น",IF(AND(P80="เปลี่ยนเป็นหน่วยงานผู้เชี่ยวชาญ",M80="No"),"⚠ เสนอโอน แต่ตอบว่ายังไม่มีผู้เชี่ยวชาญตรวจ",IF(AND(P80="เปลี่ยนเป็นหน่วยงานผู้เชี่ยวชาญ",Q80=""),"⚠ ยังไม่ระบุหน่วยงานผู้เชี่ยวชาญ","")))))</f>
        <v/>
      </c>
      <c r="U80" s="69">
        <f>IF(AND(P80="ตัด D2",ISNUMBER(D80),ISNUMBER(F80)),D80*F80,"")</f>
        <v/>
      </c>
      <c r="V80" s="73" t="n"/>
      <c r="W80" s="70">
        <f>IF(C80="","",IF(AND(ISNUMBER(D80),D80=0),"✔ ไม่เคยทำ (ข้าม)",IF(COUNTA(D80:P80)=0,"○ ยังไม่เริ่ม",IF(IF(D80="","จำนวน/ปี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","")="","✔ ครบ","⏳ ขาด: "&amp;TRIM(IF(D80="","จำนวน/ปี ","")&amp;IF(E80="","ระยะเวลา ","")&amp;IF(F80="","D2ใช้(วัน) ","")&amp;IF(G80="","งบ ","")&amp;IF(H80="","อัตรากำลัง ","")&amp;IF(I80="","กฎหมาย ","")&amp;IF(J80="","ทรัพย์สิน ","")&amp;IF(K80="","ชื่อเสียง ","")&amp;IF(L80="","นโยบาย ","")&amp;IF(M80="","ผู้เชี่ยวชาญตรวจ ","")&amp;IF(N80="","D2เพิ่มคุณค่า ","")&amp;IF(O80="","D2ตีกลับ ","")&amp;IF(P80="","ข้อเสนอ ","")&amp;IF(AND(P80="เปลี่ยนเป็นหน่วยงานผู้เชี่ยวชาญ",Q80=""),"หน่วยงานผู้เชี่ยวชาญ ",""))))))</f>
        <v/>
      </c>
    </row>
    <row r="81">
      <c r="A81" s="72" t="n"/>
      <c r="B81" s="73" t="n"/>
      <c r="C81" s="73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69">
        <f>IF(COUNTA(G81:I81,M81)&lt;4,"",Settings!$C$5*(G81="Yes")+Settings!$C$6*(H81="Yes")+Settings!$C$7*(I81="Yes")+Settings!$C$8*(M81="No"))</f>
        <v/>
      </c>
      <c r="S81" s="69">
        <f>IF(R81="","",IF(R81&gt;=Settings!$C$13,"สูง",IF(R81&gt;=Settings!$C$12,"ปานกลาง","ต่ำ")))</f>
        <v/>
      </c>
      <c r="T81" s="70">
        <f>IF(OR(S81="",P81=""),"",IF(AND(S81="สูง",P81="ตัด D2"),"⚠ เสี่ยงสูงแต่เสนอตัด D2 — ควรทบทวน",IF(AND(S81="ต่ำ",P81="คง D2"),"ℹ เสี่ยงต่ำแต่เสนอคง D2 — อาจควบคุมเกินจำเป็น",IF(AND(P81="เปลี่ยนเป็นหน่วยงานผู้เชี่ยวชาญ",M81="No"),"⚠ เสนอโอน แต่ตอบว่ายังไม่มีผู้เชี่ยวชาญตรวจ",IF(AND(P81="เปลี่ยนเป็นหน่วยงานผู้เชี่ยวชาญ",Q81=""),"⚠ ยังไม่ระบุหน่วยงานผู้เชี่ยวชาญ","")))))</f>
        <v/>
      </c>
      <c r="U81" s="69">
        <f>IF(AND(P81="ตัด D2",ISNUMBER(D81),ISNUMBER(F81)),D81*F81,"")</f>
        <v/>
      </c>
      <c r="V81" s="73" t="n"/>
      <c r="W81" s="70">
        <f>IF(C81="","",IF(AND(ISNUMBER(D81),D81=0),"✔ ไม่เคยทำ (ข้าม)",IF(COUNTA(D81:P81)=0,"○ ยังไม่เริ่ม",IF(IF(D81="","จำนวน/ปี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","")="","✔ ครบ","⏳ ขาด: "&amp;TRIM(IF(D81="","จำนวน/ปี ","")&amp;IF(E81="","ระยะเวลา ","")&amp;IF(F81="","D2ใช้(วัน) ","")&amp;IF(G81="","งบ ","")&amp;IF(H81="","อัตรากำลัง ","")&amp;IF(I81="","กฎหมาย ","")&amp;IF(J81="","ทรัพย์สิน ","")&amp;IF(K81="","ชื่อเสียง ","")&amp;IF(L81="","นโยบาย ","")&amp;IF(M81="","ผู้เชี่ยวชาญตรวจ ","")&amp;IF(N81="","D2เพิ่มคุณค่า ","")&amp;IF(O81="","D2ตีกลับ ","")&amp;IF(P81="","ข้อเสนอ ","")&amp;IF(AND(P81="เปลี่ยนเป็นหน่วยงานผู้เชี่ยวชาญ",Q81=""),"หน่วยงานผู้เชี่ยวชาญ ",""))))))</f>
        <v/>
      </c>
    </row>
    <row r="82">
      <c r="A82" s="72" t="n"/>
      <c r="B82" s="73" t="n"/>
      <c r="C82" s="73" t="n"/>
      <c r="D82" s="72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69">
        <f>IF(COUNTA(G82:I82,M82)&lt;4,"",Settings!$C$5*(G82="Yes")+Settings!$C$6*(H82="Yes")+Settings!$C$7*(I82="Yes")+Settings!$C$8*(M82="No"))</f>
        <v/>
      </c>
      <c r="S82" s="69">
        <f>IF(R82="","",IF(R82&gt;=Settings!$C$13,"สูง",IF(R82&gt;=Settings!$C$12,"ปานกลาง","ต่ำ")))</f>
        <v/>
      </c>
      <c r="T82" s="70">
        <f>IF(OR(S82="",P82=""),"",IF(AND(S82="สูง",P82="ตัด D2"),"⚠ เสี่ยงสูงแต่เสนอตัด D2 — ควรทบทวน",IF(AND(S82="ต่ำ",P82="คง D2"),"ℹ เสี่ยงต่ำแต่เสนอคง D2 — อาจควบคุมเกินจำเป็น",IF(AND(P82="เปลี่ยนเป็นหน่วยงานผู้เชี่ยวชาญ",M82="No"),"⚠ เสนอโอน แต่ตอบว่ายังไม่มีผู้เชี่ยวชาญตรวจ",IF(AND(P82="เปลี่ยนเป็นหน่วยงานผู้เชี่ยวชาญ",Q82=""),"⚠ ยังไม่ระบุหน่วยงานผู้เชี่ยวชาญ","")))))</f>
        <v/>
      </c>
      <c r="U82" s="69">
        <f>IF(AND(P82="ตัด D2",ISNUMBER(D82),ISNUMBER(F82)),D82*F82,"")</f>
        <v/>
      </c>
      <c r="V82" s="73" t="n"/>
      <c r="W82" s="70">
        <f>IF(C82="","",IF(AND(ISNUMBER(D82),D82=0),"✔ ไม่เคยทำ (ข้าม)",IF(COUNTA(D82:P82)=0,"○ ยังไม่เริ่ม",IF(IF(D82="","จำนวน/ปี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","")="","✔ ครบ","⏳ ขาด: "&amp;TRIM(IF(D82="","จำนวน/ปี ","")&amp;IF(E82="","ระยะเวลา ","")&amp;IF(F82="","D2ใช้(วัน) ","")&amp;IF(G82="","งบ ","")&amp;IF(H82="","อัตรากำลัง ","")&amp;IF(I82="","กฎหมาย ","")&amp;IF(J82="","ทรัพย์สิน ","")&amp;IF(K82="","ชื่อเสียง ","")&amp;IF(L82="","นโยบาย ","")&amp;IF(M82="","ผู้เชี่ยวชาญตรวจ ","")&amp;IF(N82="","D2เพิ่มคุณค่า ","")&amp;IF(O82="","D2ตีกลับ ","")&amp;IF(P82="","ข้อเสนอ ","")&amp;IF(AND(P82="เปลี่ยนเป็นหน่วยงานผู้เชี่ยวชาญ",Q82=""),"หน่วยงานผู้เชี่ยวชาญ ",""))))))</f>
        <v/>
      </c>
    </row>
    <row r="83">
      <c r="A83" s="72" t="n"/>
      <c r="B83" s="73" t="n"/>
      <c r="C83" s="73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69">
        <f>IF(COUNTA(G83:I83,M83)&lt;4,"",Settings!$C$5*(G83="Yes")+Settings!$C$6*(H83="Yes")+Settings!$C$7*(I83="Yes")+Settings!$C$8*(M83="No"))</f>
        <v/>
      </c>
      <c r="S83" s="69">
        <f>IF(R83="","",IF(R83&gt;=Settings!$C$13,"สูง",IF(R83&gt;=Settings!$C$12,"ปานกลาง","ต่ำ")))</f>
        <v/>
      </c>
      <c r="T83" s="70">
        <f>IF(OR(S83="",P83=""),"",IF(AND(S83="สูง",P83="ตัด D2"),"⚠ เสี่ยงสูงแต่เสนอตัด D2 — ควรทบทวน",IF(AND(S83="ต่ำ",P83="คง D2"),"ℹ เสี่ยงต่ำแต่เสนอคง D2 — อาจควบคุมเกินจำเป็น",IF(AND(P83="เปลี่ยนเป็นหน่วยงานผู้เชี่ยวชาญ",M83="No"),"⚠ เสนอโอน แต่ตอบว่ายังไม่มีผู้เชี่ยวชาญตรวจ",IF(AND(P83="เปลี่ยนเป็นหน่วยงานผู้เชี่ยวชาญ",Q83=""),"⚠ ยังไม่ระบุหน่วยงานผู้เชี่ยวชาญ","")))))</f>
        <v/>
      </c>
      <c r="U83" s="69">
        <f>IF(AND(P83="ตัด D2",ISNUMBER(D83),ISNUMBER(F83)),D83*F83,"")</f>
        <v/>
      </c>
      <c r="V83" s="73" t="n"/>
      <c r="W83" s="70">
        <f>IF(C83="","",IF(AND(ISNUMBER(D83),D83=0),"✔ ไม่เคยทำ (ข้าม)",IF(COUNTA(D83:P83)=0,"○ ยังไม่เริ่ม",IF(IF(D83="","จำนวน/ปี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","")="","✔ ครบ","⏳ ขาด: "&amp;TRIM(IF(D83="","จำนวน/ปี ","")&amp;IF(E83="","ระยะเวลา ","")&amp;IF(F83="","D2ใช้(วัน) ","")&amp;IF(G83="","งบ ","")&amp;IF(H83="","อัตรากำลัง ","")&amp;IF(I83="","กฎหมาย ","")&amp;IF(J83="","ทรัพย์สิน ","")&amp;IF(K83="","ชื่อเสียง ","")&amp;IF(L83="","นโยบาย ","")&amp;IF(M83="","ผู้เชี่ยวชาญตรวจ ","")&amp;IF(N83="","D2เพิ่มคุณค่า ","")&amp;IF(O83="","D2ตีกลับ ","")&amp;IF(P83="","ข้อเสนอ ","")&amp;IF(AND(P83="เปลี่ยนเป็นหน่วยงานผู้เชี่ยวชาญ",Q83=""),"หน่วยงานผู้เชี่ยวชาญ ",""))))))</f>
        <v/>
      </c>
    </row>
    <row r="84">
      <c r="A84" s="72" t="n"/>
      <c r="B84" s="73" t="n"/>
      <c r="C84" s="73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69">
        <f>IF(COUNTA(G84:I84,M84)&lt;4,"",Settings!$C$5*(G84="Yes")+Settings!$C$6*(H84="Yes")+Settings!$C$7*(I84="Yes")+Settings!$C$8*(M84="No"))</f>
        <v/>
      </c>
      <c r="S84" s="69">
        <f>IF(R84="","",IF(R84&gt;=Settings!$C$13,"สูง",IF(R84&gt;=Settings!$C$12,"ปานกลาง","ต่ำ")))</f>
        <v/>
      </c>
      <c r="T84" s="70">
        <f>IF(OR(S84="",P84=""),"",IF(AND(S84="สูง",P84="ตัด D2"),"⚠ เสี่ยงสูงแต่เสนอตัด D2 — ควรทบทวน",IF(AND(S84="ต่ำ",P84="คง D2"),"ℹ เสี่ยงต่ำแต่เสนอคง D2 — อาจควบคุมเกินจำเป็น",IF(AND(P84="เปลี่ยนเป็นหน่วยงานผู้เชี่ยวชาญ",M84="No"),"⚠ เสนอโอน แต่ตอบว่ายังไม่มีผู้เชี่ยวชาญตรวจ",IF(AND(P84="เปลี่ยนเป็นหน่วยงานผู้เชี่ยวชาญ",Q84=""),"⚠ ยังไม่ระบุหน่วยงานผู้เชี่ยวชาญ","")))))</f>
        <v/>
      </c>
      <c r="U84" s="69">
        <f>IF(AND(P84="ตัด D2",ISNUMBER(D84),ISNUMBER(F84)),D84*F84,"")</f>
        <v/>
      </c>
      <c r="V84" s="73" t="n"/>
      <c r="W84" s="70">
        <f>IF(C84="","",IF(AND(ISNUMBER(D84),D84=0),"✔ ไม่เคยทำ (ข้าม)",IF(COUNTA(D84:P84)=0,"○ ยังไม่เริ่ม",IF(IF(D84="","จำนวน/ปี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","")="","✔ ครบ","⏳ ขาด: "&amp;TRIM(IF(D84="","จำนวน/ปี ","")&amp;IF(E84="","ระยะเวลา ","")&amp;IF(F84="","D2ใช้(วัน) ","")&amp;IF(G84="","งบ ","")&amp;IF(H84="","อัตรากำลัง ","")&amp;IF(I84="","กฎหมาย ","")&amp;IF(J84="","ทรัพย์สิน ","")&amp;IF(K84="","ชื่อเสียง ","")&amp;IF(L84="","นโยบาย ","")&amp;IF(M84="","ผู้เชี่ยวชาญตรวจ ","")&amp;IF(N84="","D2เพิ่มคุณค่า ","")&amp;IF(O84="","D2ตีกลับ ","")&amp;IF(P84="","ข้อเสนอ ","")&amp;IF(AND(P84="เปลี่ยนเป็นหน่วยงานผู้เชี่ยวชาญ",Q84=""),"หน่วยงานผู้เชี่ยวชาญ ",""))))))</f>
        <v/>
      </c>
    </row>
    <row r="85">
      <c r="A85" s="72" t="n"/>
      <c r="B85" s="73" t="n"/>
      <c r="C85" s="73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69">
        <f>IF(COUNTA(G85:I85,M85)&lt;4,"",Settings!$C$5*(G85="Yes")+Settings!$C$6*(H85="Yes")+Settings!$C$7*(I85="Yes")+Settings!$C$8*(M85="No"))</f>
        <v/>
      </c>
      <c r="S85" s="69">
        <f>IF(R85="","",IF(R85&gt;=Settings!$C$13,"สูง",IF(R85&gt;=Settings!$C$12,"ปานกลาง","ต่ำ")))</f>
        <v/>
      </c>
      <c r="T85" s="70">
        <f>IF(OR(S85="",P85=""),"",IF(AND(S85="สูง",P85="ตัด D2"),"⚠ เสี่ยงสูงแต่เสนอตัด D2 — ควรทบทวน",IF(AND(S85="ต่ำ",P85="คง D2"),"ℹ เสี่ยงต่ำแต่เสนอคง D2 — อาจควบคุมเกินจำเป็น",IF(AND(P85="เปลี่ยนเป็นหน่วยงานผู้เชี่ยวชาญ",M85="No"),"⚠ เสนอโอน แต่ตอบว่ายังไม่มีผู้เชี่ยวชาญตรวจ",IF(AND(P85="เปลี่ยนเป็นหน่วยงานผู้เชี่ยวชาญ",Q85=""),"⚠ ยังไม่ระบุหน่วยงานผู้เชี่ยวชาญ","")))))</f>
        <v/>
      </c>
      <c r="U85" s="69">
        <f>IF(AND(P85="ตัด D2",ISNUMBER(D85),ISNUMBER(F85)),D85*F85,"")</f>
        <v/>
      </c>
      <c r="V85" s="73" t="n"/>
      <c r="W85" s="70">
        <f>IF(C85="","",IF(AND(ISNUMBER(D85),D85=0),"✔ ไม่เคยทำ (ข้าม)",IF(COUNTA(D85:P85)=0,"○ ยังไม่เริ่ม",IF(IF(D85="","จำนวน/ปี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","")="","✔ ครบ","⏳ ขาด: "&amp;TRIM(IF(D85="","จำนวน/ปี ","")&amp;IF(E85="","ระยะเวลา ","")&amp;IF(F85="","D2ใช้(วัน) ","")&amp;IF(G85="","งบ ","")&amp;IF(H85="","อัตรากำลัง ","")&amp;IF(I85="","กฎหมาย ","")&amp;IF(J85="","ทรัพย์สิน ","")&amp;IF(K85="","ชื่อเสียง ","")&amp;IF(L85="","นโยบาย ","")&amp;IF(M85="","ผู้เชี่ยวชาญตรวจ ","")&amp;IF(N85="","D2เพิ่มคุณค่า ","")&amp;IF(O85="","D2ตีกลับ ","")&amp;IF(P85="","ข้อเสนอ ","")&amp;IF(AND(P85="เปลี่ยนเป็นหน่วยงานผู้เชี่ยวชาญ",Q85=""),"หน่วยงานผู้เชี่ยวชาญ ",""))))))</f>
        <v/>
      </c>
    </row>
    <row r="86">
      <c r="A86" s="72" t="n"/>
      <c r="B86" s="73" t="n"/>
      <c r="C86" s="73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69">
        <f>IF(COUNTA(G86:I86,M86)&lt;4,"",Settings!$C$5*(G86="Yes")+Settings!$C$6*(H86="Yes")+Settings!$C$7*(I86="Yes")+Settings!$C$8*(M86="No"))</f>
        <v/>
      </c>
      <c r="S86" s="69">
        <f>IF(R86="","",IF(R86&gt;=Settings!$C$13,"สูง",IF(R86&gt;=Settings!$C$12,"ปานกลาง","ต่ำ")))</f>
        <v/>
      </c>
      <c r="T86" s="70">
        <f>IF(OR(S86="",P86=""),"",IF(AND(S86="สูง",P86="ตัด D2"),"⚠ เสี่ยงสูงแต่เสนอตัด D2 — ควรทบทวน",IF(AND(S86="ต่ำ",P86="คง D2"),"ℹ เสี่ยงต่ำแต่เสนอคง D2 — อาจควบคุมเกินจำเป็น",IF(AND(P86="เปลี่ยนเป็นหน่วยงานผู้เชี่ยวชาญ",M86="No"),"⚠ เสนอโอน แต่ตอบว่ายังไม่มีผู้เชี่ยวชาญตรวจ",IF(AND(P86="เปลี่ยนเป็นหน่วยงานผู้เชี่ยวชาญ",Q86=""),"⚠ ยังไม่ระบุหน่วยงานผู้เชี่ยวชาญ","")))))</f>
        <v/>
      </c>
      <c r="U86" s="69">
        <f>IF(AND(P86="ตัด D2",ISNUMBER(D86),ISNUMBER(F86)),D86*F86,"")</f>
        <v/>
      </c>
      <c r="V86" s="73" t="n"/>
      <c r="W86" s="70">
        <f>IF(C86="","",IF(AND(ISNUMBER(D86),D86=0),"✔ ไม่เคยทำ (ข้าม)",IF(COUNTA(D86:P86)=0,"○ ยังไม่เริ่ม",IF(IF(D86="","จำนวน/ปี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","")="","✔ ครบ","⏳ ขาด: "&amp;TRIM(IF(D86="","จำนวน/ปี ","")&amp;IF(E86="","ระยะเวลา ","")&amp;IF(F86="","D2ใช้(วัน) ","")&amp;IF(G86="","งบ ","")&amp;IF(H86="","อัตรากำลัง ","")&amp;IF(I86="","กฎหมาย ","")&amp;IF(J86="","ทรัพย์สิน ","")&amp;IF(K86="","ชื่อเสียง ","")&amp;IF(L86="","นโยบาย ","")&amp;IF(M86="","ผู้เชี่ยวชาญตรวจ ","")&amp;IF(N86="","D2เพิ่มคุณค่า ","")&amp;IF(O86="","D2ตีกลับ ","")&amp;IF(P86="","ข้อเสนอ ","")&amp;IF(AND(P86="เปลี่ยนเป็นหน่วยงานผู้เชี่ยวชาญ",Q86=""),"หน่วยงานผู้เชี่ยวชาญ ",""))))))</f>
        <v/>
      </c>
    </row>
    <row r="87">
      <c r="A87" s="72" t="n"/>
      <c r="B87" s="73" t="n"/>
      <c r="C87" s="73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69">
        <f>IF(COUNTA(G87:I87,M87)&lt;4,"",Settings!$C$5*(G87="Yes")+Settings!$C$6*(H87="Yes")+Settings!$C$7*(I87="Yes")+Settings!$C$8*(M87="No"))</f>
        <v/>
      </c>
      <c r="S87" s="69">
        <f>IF(R87="","",IF(R87&gt;=Settings!$C$13,"สูง",IF(R87&gt;=Settings!$C$12,"ปานกลาง","ต่ำ")))</f>
        <v/>
      </c>
      <c r="T87" s="70">
        <f>IF(OR(S87="",P87=""),"",IF(AND(S87="สูง",P87="ตัด D2"),"⚠ เสี่ยงสูงแต่เสนอตัด D2 — ควรทบทวน",IF(AND(S87="ต่ำ",P87="คง D2"),"ℹ เสี่ยงต่ำแต่เสนอคง D2 — อาจควบคุมเกินจำเป็น",IF(AND(P87="เปลี่ยนเป็นหน่วยงานผู้เชี่ยวชาญ",M87="No"),"⚠ เสนอโอน แต่ตอบว่ายังไม่มีผู้เชี่ยวชาญตรวจ",IF(AND(P87="เปลี่ยนเป็นหน่วยงานผู้เชี่ยวชาญ",Q87=""),"⚠ ยังไม่ระบุหน่วยงานผู้เชี่ยวชาญ","")))))</f>
        <v/>
      </c>
      <c r="U87" s="69">
        <f>IF(AND(P87="ตัด D2",ISNUMBER(D87),ISNUMBER(F87)),D87*F87,"")</f>
        <v/>
      </c>
      <c r="V87" s="73" t="n"/>
      <c r="W87" s="70">
        <f>IF(C87="","",IF(AND(ISNUMBER(D87),D87=0),"✔ ไม่เคยทำ (ข้าม)",IF(COUNTA(D87:P87)=0,"○ ยังไม่เริ่ม",IF(IF(D87="","จำนวน/ปี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","")="","✔ ครบ","⏳ ขาด: "&amp;TRIM(IF(D87="","จำนวน/ปี ","")&amp;IF(E87="","ระยะเวลา ","")&amp;IF(F87="","D2ใช้(วัน) ","")&amp;IF(G87="","งบ ","")&amp;IF(H87="","อัตรากำลัง ","")&amp;IF(I87="","กฎหมาย ","")&amp;IF(J87="","ทรัพย์สิน ","")&amp;IF(K87="","ชื่อเสียง ","")&amp;IF(L87="","นโยบาย ","")&amp;IF(M87="","ผู้เชี่ยวชาญตรวจ ","")&amp;IF(N87="","D2เพิ่มคุณค่า ","")&amp;IF(O87="","D2ตีกลับ ","")&amp;IF(P87="","ข้อเสนอ ","")&amp;IF(AND(P87="เปลี่ยนเป็นหน่วยงานผู้เชี่ยวชาญ",Q87=""),"หน่วยงานผู้เชี่ยวชาญ ",""))))))</f>
        <v/>
      </c>
    </row>
    <row r="88">
      <c r="A88" s="72" t="n"/>
      <c r="B88" s="73" t="n"/>
      <c r="C88" s="73" t="n"/>
      <c r="D88" s="72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69">
        <f>IF(COUNTA(G88:I88,M88)&lt;4,"",Settings!$C$5*(G88="Yes")+Settings!$C$6*(H88="Yes")+Settings!$C$7*(I88="Yes")+Settings!$C$8*(M88="No"))</f>
        <v/>
      </c>
      <c r="S88" s="69">
        <f>IF(R88="","",IF(R88&gt;=Settings!$C$13,"สูง",IF(R88&gt;=Settings!$C$12,"ปานกลาง","ต่ำ")))</f>
        <v/>
      </c>
      <c r="T88" s="70">
        <f>IF(OR(S88="",P88=""),"",IF(AND(S88="สูง",P88="ตัด D2"),"⚠ เสี่ยงสูงแต่เสนอตัด D2 — ควรทบทวน",IF(AND(S88="ต่ำ",P88="คง D2"),"ℹ เสี่ยงต่ำแต่เสนอคง D2 — อาจควบคุมเกินจำเป็น",IF(AND(P88="เปลี่ยนเป็นหน่วยงานผู้เชี่ยวชาญ",M88="No"),"⚠ เสนอโอน แต่ตอบว่ายังไม่มีผู้เชี่ยวชาญตรวจ",IF(AND(P88="เปลี่ยนเป็นหน่วยงานผู้เชี่ยวชาญ",Q88=""),"⚠ ยังไม่ระบุหน่วยงานผู้เชี่ยวชาญ","")))))</f>
        <v/>
      </c>
      <c r="U88" s="69">
        <f>IF(AND(P88="ตัด D2",ISNUMBER(D88),ISNUMBER(F88)),D88*F88,"")</f>
        <v/>
      </c>
      <c r="V88" s="73" t="n"/>
      <c r="W88" s="70">
        <f>IF(C88="","",IF(AND(ISNUMBER(D88),D88=0),"✔ ไม่เคยทำ (ข้าม)",IF(COUNTA(D88:P88)=0,"○ ยังไม่เริ่ม",IF(IF(D88="","จำนวน/ปี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","")="","✔ ครบ","⏳ ขาด: "&amp;TRIM(IF(D88="","จำนวน/ปี ","")&amp;IF(E88="","ระยะเวลา ","")&amp;IF(F88="","D2ใช้(วัน) ","")&amp;IF(G88="","งบ ","")&amp;IF(H88="","อัตรากำลัง ","")&amp;IF(I88="","กฎหมาย ","")&amp;IF(J88="","ทรัพย์สิน ","")&amp;IF(K88="","ชื่อเสียง ","")&amp;IF(L88="","นโยบาย ","")&amp;IF(M88="","ผู้เชี่ยวชาญตรวจ ","")&amp;IF(N88="","D2เพิ่มคุณค่า ","")&amp;IF(O88="","D2ตีกลับ ","")&amp;IF(P88="","ข้อเสนอ ","")&amp;IF(AND(P88="เปลี่ยนเป็นหน่วยงานผู้เชี่ยวชาญ",Q88=""),"หน่วยงานผู้เชี่ยวชาญ ",""))))))</f>
        <v/>
      </c>
    </row>
    <row r="89">
      <c r="A89" s="72" t="n"/>
      <c r="B89" s="73" t="n"/>
      <c r="C89" s="73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69">
        <f>IF(COUNTA(G89:I89,M89)&lt;4,"",Settings!$C$5*(G89="Yes")+Settings!$C$6*(H89="Yes")+Settings!$C$7*(I89="Yes")+Settings!$C$8*(M89="No"))</f>
        <v/>
      </c>
      <c r="S89" s="69">
        <f>IF(R89="","",IF(R89&gt;=Settings!$C$13,"สูง",IF(R89&gt;=Settings!$C$12,"ปานกลาง","ต่ำ")))</f>
        <v/>
      </c>
      <c r="T89" s="70">
        <f>IF(OR(S89="",P89=""),"",IF(AND(S89="สูง",P89="ตัด D2"),"⚠ เสี่ยงสูงแต่เสนอตัด D2 — ควรทบทวน",IF(AND(S89="ต่ำ",P89="คง D2"),"ℹ เสี่ยงต่ำแต่เสนอคง D2 — อาจควบคุมเกินจำเป็น",IF(AND(P89="เปลี่ยนเป็นหน่วยงานผู้เชี่ยวชาญ",M89="No"),"⚠ เสนอโอน แต่ตอบว่ายังไม่มีผู้เชี่ยวชาญตรวจ",IF(AND(P89="เปลี่ยนเป็นหน่วยงานผู้เชี่ยวชาญ",Q89=""),"⚠ ยังไม่ระบุหน่วยงานผู้เชี่ยวชาญ","")))))</f>
        <v/>
      </c>
      <c r="U89" s="69">
        <f>IF(AND(P89="ตัด D2",ISNUMBER(D89),ISNUMBER(F89)),D89*F89,"")</f>
        <v/>
      </c>
      <c r="V89" s="73" t="n"/>
      <c r="W89" s="70">
        <f>IF(C89="","",IF(AND(ISNUMBER(D89),D89=0),"✔ ไม่เคยทำ (ข้าม)",IF(COUNTA(D89:P89)=0,"○ ยังไม่เริ่ม",IF(IF(D89="","จำนวน/ปี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","")="","✔ ครบ","⏳ ขาด: "&amp;TRIM(IF(D89="","จำนวน/ปี ","")&amp;IF(E89="","ระยะเวลา ","")&amp;IF(F89="","D2ใช้(วัน) ","")&amp;IF(G89="","งบ ","")&amp;IF(H89="","อัตรากำลัง ","")&amp;IF(I89="","กฎหมาย ","")&amp;IF(J89="","ทรัพย์สิน ","")&amp;IF(K89="","ชื่อเสียง ","")&amp;IF(L89="","นโยบาย ","")&amp;IF(M89="","ผู้เชี่ยวชาญตรวจ ","")&amp;IF(N89="","D2เพิ่มคุณค่า ","")&amp;IF(O89="","D2ตีกลับ ","")&amp;IF(P89="","ข้อเสนอ ","")&amp;IF(AND(P89="เปลี่ยนเป็นหน่วยงานผู้เชี่ยวชาญ",Q89=""),"หน่วยงานผู้เชี่ยวชาญ ",""))))))</f>
        <v/>
      </c>
    </row>
    <row r="90">
      <c r="A90" s="72" t="n"/>
      <c r="B90" s="73" t="n"/>
      <c r="C90" s="73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  <c r="N90" s="72" t="n"/>
      <c r="O90" s="72" t="n"/>
      <c r="P90" s="72" t="n"/>
      <c r="Q90" s="72" t="n"/>
      <c r="R90" s="69">
        <f>IF(COUNTA(G90:I90,M90)&lt;4,"",Settings!$C$5*(G90="Yes")+Settings!$C$6*(H90="Yes")+Settings!$C$7*(I90="Yes")+Settings!$C$8*(M90="No"))</f>
        <v/>
      </c>
      <c r="S90" s="69">
        <f>IF(R90="","",IF(R90&gt;=Settings!$C$13,"สูง",IF(R90&gt;=Settings!$C$12,"ปานกลาง","ต่ำ")))</f>
        <v/>
      </c>
      <c r="T90" s="70">
        <f>IF(OR(S90="",P90=""),"",IF(AND(S90="สูง",P90="ตัด D2"),"⚠ เสี่ยงสูงแต่เสนอตัด D2 — ควรทบทวน",IF(AND(S90="ต่ำ",P90="คง D2"),"ℹ เสี่ยงต่ำแต่เสนอคง D2 — อาจควบคุมเกินจำเป็น",IF(AND(P90="เปลี่ยนเป็นหน่วยงานผู้เชี่ยวชาญ",M90="No"),"⚠ เสนอโอน แต่ตอบว่ายังไม่มีผู้เชี่ยวชาญตรวจ",IF(AND(P90="เปลี่ยนเป็นหน่วยงานผู้เชี่ยวชาญ",Q90=""),"⚠ ยังไม่ระบุหน่วยงานผู้เชี่ยวชาญ","")))))</f>
        <v/>
      </c>
      <c r="U90" s="69">
        <f>IF(AND(P90="ตัด D2",ISNUMBER(D90),ISNUMBER(F90)),D90*F90,"")</f>
        <v/>
      </c>
      <c r="V90" s="73" t="n"/>
      <c r="W90" s="70">
        <f>IF(C90="","",IF(AND(ISNUMBER(D90),D90=0),"✔ ไม่เคยทำ (ข้าม)",IF(COUNTA(D90:P90)=0,"○ ยังไม่เริ่ม",IF(IF(D90="","จำนวน/ปี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","")="","✔ ครบ","⏳ ขาด: "&amp;TRIM(IF(D90="","จำนวน/ปี ","")&amp;IF(E90="","ระยะเวลา ","")&amp;IF(F90="","D2ใช้(วัน) ","")&amp;IF(G90="","งบ ","")&amp;IF(H90="","อัตรากำลัง ","")&amp;IF(I90="","กฎหมาย ","")&amp;IF(J90="","ทรัพย์สิน ","")&amp;IF(K90="","ชื่อเสียง ","")&amp;IF(L90="","นโยบาย ","")&amp;IF(M90="","ผู้เชี่ยวชาญตรวจ ","")&amp;IF(N90="","D2เพิ่มคุณค่า ","")&amp;IF(O90="","D2ตีกลับ ","")&amp;IF(P90="","ข้อเสนอ ","")&amp;IF(AND(P90="เปลี่ยนเป็นหน่วยงานผู้เชี่ยวชาญ",Q90=""),"หน่วยงานผู้เชี่ยวชาญ ",""))))))</f>
        <v/>
      </c>
    </row>
    <row r="91">
      <c r="A91" s="72" t="n"/>
      <c r="B91" s="73" t="n"/>
      <c r="C91" s="73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69">
        <f>IF(COUNTA(G91:I91,M91)&lt;4,"",Settings!$C$5*(G91="Yes")+Settings!$C$6*(H91="Yes")+Settings!$C$7*(I91="Yes")+Settings!$C$8*(M91="No"))</f>
        <v/>
      </c>
      <c r="S91" s="69">
        <f>IF(R91="","",IF(R91&gt;=Settings!$C$13,"สูง",IF(R91&gt;=Settings!$C$12,"ปานกลาง","ต่ำ")))</f>
        <v/>
      </c>
      <c r="T91" s="70">
        <f>IF(OR(S91="",P91=""),"",IF(AND(S91="สูง",P91="ตัด D2"),"⚠ เสี่ยงสูงแต่เสนอตัด D2 — ควรทบทวน",IF(AND(S91="ต่ำ",P91="คง D2"),"ℹ เสี่ยงต่ำแต่เสนอคง D2 — อาจควบคุมเกินจำเป็น",IF(AND(P91="เปลี่ยนเป็นหน่วยงานผู้เชี่ยวชาญ",M91="No"),"⚠ เสนอโอน แต่ตอบว่ายังไม่มีผู้เชี่ยวชาญตรวจ",IF(AND(P91="เปลี่ยนเป็นหน่วยงานผู้เชี่ยวชาญ",Q91=""),"⚠ ยังไม่ระบุหน่วยงานผู้เชี่ยวชาญ","")))))</f>
        <v/>
      </c>
      <c r="U91" s="69">
        <f>IF(AND(P91="ตัด D2",ISNUMBER(D91),ISNUMBER(F91)),D91*F91,"")</f>
        <v/>
      </c>
      <c r="V91" s="73" t="n"/>
      <c r="W91" s="70">
        <f>IF(C91="","",IF(AND(ISNUMBER(D91),D91=0),"✔ ไม่เคยทำ (ข้าม)",IF(COUNTA(D91:P91)=0,"○ ยังไม่เริ่ม",IF(IF(D91="","จำนวน/ปี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","")="","✔ ครบ","⏳ ขาด: "&amp;TRIM(IF(D91="","จำนวน/ปี ","")&amp;IF(E91="","ระยะเวลา ","")&amp;IF(F91="","D2ใช้(วัน) ","")&amp;IF(G91="","งบ ","")&amp;IF(H91="","อัตรากำลัง ","")&amp;IF(I91="","กฎหมาย ","")&amp;IF(J91="","ทรัพย์สิน ","")&amp;IF(K91="","ชื่อเสียง ","")&amp;IF(L91="","นโยบาย ","")&amp;IF(M91="","ผู้เชี่ยวชาญตรวจ ","")&amp;IF(N91="","D2เพิ่มคุณค่า ","")&amp;IF(O91="","D2ตีกลับ ","")&amp;IF(P91="","ข้อเสนอ ","")&amp;IF(AND(P91="เปลี่ยนเป็นหน่วยงานผู้เชี่ยวชาญ",Q91=""),"หน่วยงานผู้เชี่ยวชาญ ",""))))))</f>
        <v/>
      </c>
    </row>
  </sheetData>
  <mergeCells count="12">
    <mergeCell ref="P4:Q4"/>
    <mergeCell ref="C2:H2"/>
    <mergeCell ref="R4:U4"/>
    <mergeCell ref="W4"/>
    <mergeCell ref="V4"/>
    <mergeCell ref="D4:F4"/>
    <mergeCell ref="M4:O4"/>
    <mergeCell ref="A3:W3"/>
    <mergeCell ref="G4:L4"/>
    <mergeCell ref="A4:C4"/>
    <mergeCell ref="J2:P2"/>
    <mergeCell ref="A6:B6"/>
  </mergeCells>
  <conditionalFormatting sqref="S7:S91">
    <cfRule type="cellIs" priority="1" operator="equal" dxfId="5">
      <formula>"สูง"</formula>
    </cfRule>
    <cfRule type="cellIs" priority="2" operator="equal" dxfId="6">
      <formula>"ปานกลาง"</formula>
    </cfRule>
    <cfRule type="cellIs" priority="3" operator="equal" dxfId="7">
      <formula>"ต่ำ"</formula>
    </cfRule>
  </conditionalFormatting>
  <conditionalFormatting sqref="T7:T91">
    <cfRule type="expression" priority="4" dxfId="8">
      <formula>LEFT(T7,1)="⚠"</formula>
    </cfRule>
    <cfRule type="expression" priority="5" dxfId="9">
      <formula>LEFT(T7,1)="ℹ"</formula>
    </cfRule>
  </conditionalFormatting>
  <conditionalFormatting sqref="Q7:Q91">
    <cfRule type="expression" priority="6" dxfId="10">
      <formula>AND($P7="เปลี่ยนเป็นหน่วยงานผู้เชี่ยวชาญ",$Q7="")</formula>
    </cfRule>
    <cfRule type="expression" priority="7" dxfId="11">
      <formula>$P7&lt;&gt;"เปลี่ยนเป็นหน่วยงานผู้เชี่ยวชาญ"</formula>
    </cfRule>
  </conditionalFormatting>
  <conditionalFormatting sqref="A7:A91">
    <cfRule type="expression" priority="8" dxfId="12">
      <formula>LEFT($W7,1)="✔"</formula>
    </cfRule>
    <cfRule type="expression" priority="9" dxfId="3">
      <formula>LEFT($W7,1)="⏳"</formula>
    </cfRule>
  </conditionalFormatting>
  <conditionalFormatting sqref="W7:W91">
    <cfRule type="expression" priority="10" dxfId="13">
      <formula>LEFT($W7,1)="✔"</formula>
    </cfRule>
    <cfRule type="expression" priority="11" dxfId="14">
      <formula>LEFT($W7,1)="⏳"</formula>
    </cfRule>
  </conditionalFormatting>
  <conditionalFormatting sqref="D7:P91">
    <cfRule type="expression" priority="12" dxfId="0">
      <formula>AND($C7&lt;&gt;"",COUNTA($D7:$P7)&gt;0,D7="",NOT(AND(ISNUMBER($D7),$D7=0)))</formula>
    </cfRule>
  </conditionalFormatting>
  <conditionalFormatting sqref="A7:V91">
    <cfRule type="expression" priority="13" dxfId="15">
      <formula>AND($C7&lt;&gt;"",$D7=0,ISNUMBER($D7))</formula>
    </cfRule>
  </conditionalFormatting>
  <dataValidations count="14">
    <dataValidation sqref="D7:D91" showDropDown="0" showInputMessage="1" showErrorMessage="1" allowBlank="1" errorTitle="ตัวเลขเท่านั้น" error="กรุณากรอกตัวเลขตั้งแต่ 0 ขึ้นไป" promptTitle="จำนวนรายการต่อปี" prompt="จำนวนเรื่องที่เสนอขออนุมัติต่อปี&#10;ถ้างานท่านไม่เคยทำกระบวนการนี้ ใส่ 0" type="decimal" operator="greaterThanOrEqual">
      <formula1>0</formula1>
    </dataValidation>
    <dataValidation sqref="E7:E91" showDropDown="0" showInputMessage="1" showErrorMessage="1" allowBlank="1" errorTitle="ตัวเลขเท่านั้น" error="กรุณากรอกตัวเลขตั้งแต่ 0 ขึ้นไป" promptTitle="ระยะเวลาเฉลี่ย (วัน)" prompt="ตั้งแต่เริ่มเสนอเรื่องจนได้รับอนุมัติ ครบทุกขั้นตอน (วันทำการ)" type="decimal" operator="greaterThanOrEqual">
      <formula1>0</formula1>
    </dataValidation>
    <dataValidation sqref="F7:F91" showDropDown="0" showInputMessage="1" showErrorMessage="1" allowBlank="1" errorTitle="ตัวเลขเท่านั้น" error="กรุณากรอกตัวเลขตั้งแต่ 0 ขึ้นไป" promptTitle="ระยะเวลาที่ D2 ใช้ (วัน)" prompt="เรื่องค้างอยู่ที่เลขานุการคณะ (D2) โดยเฉลี่ยกี่วัน&#10;ใช้คำนวณวันที่ประหยัดได้ถ้าตัด D2" type="decimal" operator="greaterThanOrEqual">
      <formula1>0</formula1>
    </dataValidation>
    <dataValidation sqref="G7:G91" showDropDown="0" showInputMessage="1" showErrorMessage="1" allowBlank="1" errorTitle="เลือกจากรายการ" error="กรุณาเลือกค่าจาก Dropdown" promptTitle="ผลกระทบด้านงบประมาณ" prompt="กระบวนการนี้มีผลกระทบต่องบประมาณหรือไม่&#10;Yes = มี  /  No = ไม่มี" type="list">
      <formula1>=Settings!$E$5:$E$6</formula1>
    </dataValidation>
    <dataValidation sqref="H7:H91" showDropDown="0" showInputMessage="1" showErrorMessage="1" allowBlank="1" errorTitle="เลือกจากรายการ" error="กรุณาเลือกค่าจาก Dropdown" promptTitle="ผลกระทบด้านอัตรากำลัง" prompt="กระบวนการนี้มีผลกระทบต่ออัตรากำลังหรือไม่&#10;Yes = มี  /  No = ไม่มี" type="list">
      <formula1>=Settings!$E$5:$E$6</formula1>
    </dataValidation>
    <dataValidation sqref="I7:I91" showDropDown="0" showInputMessage="1" showErrorMessage="1" allowBlank="1" errorTitle="เลือกจากรายการ" error="กรุณาเลือกค่าจาก Dropdown" promptTitle="ผลกระทบด้านกฎหมาย/ระเบียบ" prompt="กระบวนการนี้มีผลกระทบต่อกฎหมาย/ระเบียบหรือไม่&#10;Yes = มี  /  No = ไม่มี" type="list">
      <formula1>=Settings!$E$5:$E$6</formula1>
    </dataValidation>
    <dataValidation sqref="J7:J91" showDropDown="0" showInputMessage="1" showErrorMessage="1" allowBlank="1" errorTitle="เลือกจากรายการ" error="กรุณาเลือกค่าจาก Dropdown" promptTitle="ผลกระทบด้านทรัพย์สิน/พัสดุ" prompt="กระบวนการนี้มีผลกระทบต่อทรัพย์สิน/พัสดุหรือไม่&#10;Yes = มี  /  No = ไม่มี" type="list">
      <formula1>=Settings!$E$5:$E$6</formula1>
    </dataValidation>
    <dataValidation sqref="K7:K91" showDropDown="0" showInputMessage="1" showErrorMessage="1" allowBlank="1" errorTitle="เลือกจากรายการ" error="กรุณาเลือกค่าจาก Dropdown" promptTitle="ผลกระทบด้านชื่อเสียงองค์กร" prompt="กระบวนการนี้มีผลกระทบต่อชื่อเสียงองค์กรหรือไม่&#10;Yes = มี  /  No = ไม่มี" type="list">
      <formula1>=Settings!$E$5:$E$6</formula1>
    </dataValidation>
    <dataValidation sqref="L7:L91" showDropDown="0" showInputMessage="1" showErrorMessage="1" allowBlank="1" errorTitle="เลือกจากรายการ" error="กรุณาเลือกค่าจาก Dropdown" promptTitle="ผลกระทบด้านนโยบายหรือยุทธศาสตร์คณะ" prompt="กระบวนการนี้มีผลกระทบต่อนโยบายหรือยุทธศาสตร์คณะหรือไม่&#10;Yes = มี  /  No = ไม่มี" type="list">
      <formula1>=Settings!$E$5:$E$6</formula1>
    </dataValidation>
    <dataValidation sqref="M7:M91" showDropDown="0" showInputMessage="1" showErrorMessage="1" allowBlank="1" errorTitle="เลือกจากรายการ" error="กรุณาเลือกค่าจาก Dropdown" promptTitle="มีผู้เชี่ยวชาญตรวจอยู่แล้วหรือไม่" prompt="มีหน่วยงานเฉพาะทาง (การเงิน พัสดุ บุคคล นิติการ ฯลฯ) ตรวจสอบกระบวนการนี้อยู่แล้วหรือไม่&#10;Yes = มี  /  No = ไม่มี" type="list">
      <formula1>=Settings!$E$5:$E$6</formula1>
    </dataValidation>
    <dataValidation sqref="N7:N91" showDropDown="0" showInputMessage="1" showErrorMessage="1" allowBlank="1" errorTitle="เลือกจากรายการ" error="กรุณาเลือกค่าจาก Dropdown" promptTitle="D2 เพิ่มคุณค่าระดับใด" prompt="เลขานุการคณะ (D2) ช่วยเพิ่มคุณค่าหรือควบคุมความเสี่ยงในกระบวนการนี้มากน้อยเพียงใด" type="list">
      <formula1>=Settings!$F$5:$F$8</formula1>
    </dataValidation>
    <dataValidation sqref="O7:O91" showDropDown="0" showInputMessage="1" showErrorMessage="1" allowBlank="1" errorTitle="เลือกจากรายการ" error="กรุณาเลือกค่าจาก Dropdown" promptTitle="D2 เคยตีกลับหรือไม่" prompt="D2 เคยตรวจพบข้อผิดพลาดและตีกลับเรื่องนี้บ่อยเพียงใด" type="list">
      <formula1>=Settings!$G$5:$G$8</formula1>
    </dataValidation>
    <dataValidation sqref="P7:P91" showDropDown="0" showInputMessage="1" showErrorMessage="1" allowBlank="1" errorTitle="เลือกจากรายการ" error="กรุณาเลือกค่าจาก Dropdown" promptTitle="ข้อเสนอของท่าน" prompt="คง D2 / ตัด D2 / เปลี่ยนเป็นหน่วยงานผู้เชี่ยวชาญ / ขอหารือเพิ่มเติม" type="list">
      <formula1>=Settings!$H$5:$H$8</formula1>
    </dataValidation>
    <dataValidation sqref="Q7:Q91" showDropDown="0" showInputMessage="1" showErrorMessage="1" allowBlank="1" errorTitle="เลือกจากรายการ" error="กรุณาเลือกค่าจาก Dropdown" promptTitle="หน่วยงานผู้เชี่ยวชาญ" prompt="เลือกเฉพาะเมื่อข้อเสนอคือ 'เปลี่ยนเป็นหน่วยงานผู้เชี่ยวชาญ'" type="list">
      <formula1>=Settings!$I$5:$I$11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28" customWidth="1" min="4" max="4"/>
    <col width="10" customWidth="1" min="5" max="5"/>
    <col width="16" customWidth="1" min="6" max="6"/>
    <col width="14" customWidth="1" min="7" max="7"/>
    <col width="34" customWidth="1" min="8" max="8"/>
    <col width="22" customWidth="1" min="9" max="9"/>
    <col width="40" customWidth="1" min="10" max="10"/>
    <col width="40" customWidth="1" min="11" max="11"/>
  </cols>
  <sheetData>
    <row r="1">
      <c r="A1" s="50" t="inlineStr">
        <is>
          <t>ตั้งค่าระบบ (Settings) — ผู้ประสานงานแก้ไขได้ หัวหน้างานไม่ต้องแก้</t>
        </is>
      </c>
    </row>
    <row r="4">
      <c r="A4" s="4" t="inlineStr">
        <is>
          <t>ปัจจัยความเสี่ยง</t>
        </is>
      </c>
      <c r="B4" s="4" t="inlineStr">
        <is>
          <t>เงื่อนไขที่ได้คะแนน</t>
        </is>
      </c>
      <c r="C4" s="4" t="inlineStr">
        <is>
          <t>น้ำหนัก (คะแนน)</t>
        </is>
      </c>
      <c r="E4" s="4" t="inlineStr">
        <is>
          <t>Yes / No</t>
        </is>
      </c>
      <c r="F4" s="4" t="inlineStr">
        <is>
          <t>D2 เพิ่มคุณค่า</t>
        </is>
      </c>
      <c r="G4" s="4" t="inlineStr">
        <is>
          <t>D2 ตีกลับ</t>
        </is>
      </c>
      <c r="H4" s="4" t="inlineStr">
        <is>
          <t>ข้อเสนอ</t>
        </is>
      </c>
      <c r="I4" s="4" t="inlineStr">
        <is>
          <t>หน่วยงานผู้เชี่ยวชาญ</t>
        </is>
      </c>
      <c r="J4" s="4" t="inlineStr">
        <is>
          <t>ชื่อหน่วยงาน (4 งาน)</t>
        </is>
      </c>
      <c r="K4" s="4" t="inlineStr">
        <is>
          <t>ตัวเลือก Dashboard</t>
        </is>
      </c>
    </row>
    <row r="5">
      <c r="A5" s="6" t="inlineStr">
        <is>
          <t>ผลกระทบด้านงบประมาณ</t>
        </is>
      </c>
      <c r="B5" s="41" t="inlineStr">
        <is>
          <t>ตอบ Yes</t>
        </is>
      </c>
      <c r="C5" s="74" t="n">
        <v>25</v>
      </c>
      <c r="E5" s="6" t="inlineStr">
        <is>
          <t>Yes</t>
        </is>
      </c>
      <c r="F5" s="6" t="inlineStr">
        <is>
          <t>มาก</t>
        </is>
      </c>
      <c r="G5" s="6" t="inlineStr">
        <is>
          <t>บ่อย</t>
        </is>
      </c>
      <c r="H5" s="6" t="inlineStr">
        <is>
          <t>คง D2</t>
        </is>
      </c>
      <c r="I5" s="6" t="inlineStr">
        <is>
          <t>งานการเงิน</t>
        </is>
      </c>
      <c r="J5" s="6" t="inlineStr">
        <is>
          <t>งานบริหารทั่วไป</t>
        </is>
      </c>
      <c r="K5" s="6" t="inlineStr">
        <is>
          <t>ทั้งคณะ</t>
        </is>
      </c>
    </row>
    <row r="6">
      <c r="A6" s="6" t="inlineStr">
        <is>
          <t>ผลกระทบด้านอัตรากำลัง</t>
        </is>
      </c>
      <c r="B6" s="41" t="inlineStr">
        <is>
          <t>ตอบ Yes</t>
        </is>
      </c>
      <c r="C6" s="74" t="n">
        <v>25</v>
      </c>
      <c r="E6" s="6" t="inlineStr">
        <is>
          <t>No</t>
        </is>
      </c>
      <c r="F6" s="6" t="inlineStr">
        <is>
          <t>ปานกลาง</t>
        </is>
      </c>
      <c r="G6" s="6" t="inlineStr">
        <is>
          <t>บางครั้ง</t>
        </is>
      </c>
      <c r="H6" s="6" t="inlineStr">
        <is>
          <t>ตัด D2</t>
        </is>
      </c>
      <c r="I6" s="6" t="inlineStr">
        <is>
          <t>งานพัสดุ</t>
        </is>
      </c>
      <c r="J6" s="6" t="inlineStr">
        <is>
          <t>งานยุทธศาสตร์และแผน</t>
        </is>
      </c>
      <c r="K6" s="6" t="inlineStr">
        <is>
          <t>งานบริหารทั่วไป</t>
        </is>
      </c>
    </row>
    <row r="7">
      <c r="A7" s="6" t="inlineStr">
        <is>
          <t>ผลกระทบด้านกฎหมาย/ระเบียบ</t>
        </is>
      </c>
      <c r="B7" s="41" t="inlineStr">
        <is>
          <t>ตอบ Yes</t>
        </is>
      </c>
      <c r="C7" s="74" t="n">
        <v>25</v>
      </c>
      <c r="F7" s="6" t="inlineStr">
        <is>
          <t>น้อย</t>
        </is>
      </c>
      <c r="G7" s="6" t="inlineStr">
        <is>
          <t>น้อย</t>
        </is>
      </c>
      <c r="H7" s="6" t="inlineStr">
        <is>
          <t>เปลี่ยนเป็นหน่วยงานผู้เชี่ยวชาญ</t>
        </is>
      </c>
      <c r="I7" s="6" t="inlineStr">
        <is>
          <t>งานบุคคล</t>
        </is>
      </c>
      <c r="J7" s="6" t="inlineStr">
        <is>
          <t>งานบริหารงานวิจัยและบริการวิชาการ</t>
        </is>
      </c>
      <c r="K7" s="6" t="inlineStr">
        <is>
          <t>งานยุทธศาสตร์และแผน</t>
        </is>
      </c>
    </row>
    <row r="8">
      <c r="A8" s="6" t="inlineStr">
        <is>
          <t>ยังไม่มีหน่วยงานผู้เชี่ยวชาญตรวจสอบ</t>
        </is>
      </c>
      <c r="B8" s="41" t="inlineStr">
        <is>
          <t>ตอบ No</t>
        </is>
      </c>
      <c r="C8" s="74" t="n">
        <v>25</v>
      </c>
      <c r="F8" s="6" t="inlineStr">
        <is>
          <t>ไม่มี</t>
        </is>
      </c>
      <c r="G8" s="6" t="inlineStr">
        <is>
          <t>ไม่เคย</t>
        </is>
      </c>
      <c r="H8" s="6" t="inlineStr">
        <is>
          <t>ขอหารือเพิ่มเติม</t>
        </is>
      </c>
      <c r="I8" s="6" t="inlineStr">
        <is>
          <t>งานการศึกษา</t>
        </is>
      </c>
      <c r="J8" s="6" t="inlineStr">
        <is>
          <t>งานบริการการศึกษาและพัฒนาคุณภาพนักศึกษา</t>
        </is>
      </c>
      <c r="K8" s="6" t="inlineStr">
        <is>
          <t>งานบริหารงานวิจัยและบริการวิชาการ</t>
        </is>
      </c>
    </row>
    <row r="9">
      <c r="A9" s="40" t="inlineStr">
        <is>
          <t>รวมน้ำหนัก (ควรเท่ากับ 100)</t>
        </is>
      </c>
      <c r="B9" s="6" t="inlineStr"/>
      <c r="C9" s="48">
        <f>SUM(C5:C8)</f>
        <v/>
      </c>
      <c r="D9" s="75">
        <f>IF(C9=100,"✔ ครบ 100","✖ น้ำหนักรวมไม่เท่ากับ 100")</f>
        <v/>
      </c>
      <c r="I9" s="6" t="inlineStr">
        <is>
          <t>งานวิจัย</t>
        </is>
      </c>
      <c r="K9" s="6" t="inlineStr">
        <is>
          <t>งานบริการการศึกษาและพัฒนาคุณภาพนักศึกษา</t>
        </is>
      </c>
    </row>
    <row r="10">
      <c r="I10" s="6" t="inlineStr">
        <is>
          <t>นิติการ</t>
        </is>
      </c>
    </row>
    <row r="11">
      <c r="A11" s="4" t="inlineStr">
        <is>
          <t>เกณฑ์ระดับความเสี่ยง</t>
        </is>
      </c>
      <c r="B11" s="4" t="inlineStr">
        <is>
          <t>คะแนนตั้งแต่</t>
        </is>
      </c>
      <c r="C11" s="4" t="inlineStr">
        <is>
          <t>ค่า</t>
        </is>
      </c>
      <c r="I11" s="6" t="inlineStr">
        <is>
          <t>อื่น ๆ</t>
        </is>
      </c>
    </row>
    <row r="12">
      <c r="A12" s="6" t="inlineStr">
        <is>
          <t>ปานกลาง</t>
        </is>
      </c>
      <c r="B12" s="41" t="inlineStr">
        <is>
          <t>≥</t>
        </is>
      </c>
      <c r="C12" s="74" t="n">
        <v>50</v>
      </c>
    </row>
    <row r="13">
      <c r="A13" s="6" t="inlineStr">
        <is>
          <t>สูง</t>
        </is>
      </c>
      <c r="B13" s="41" t="inlineStr">
        <is>
          <t>≥</t>
        </is>
      </c>
      <c r="C13" s="74" t="n">
        <v>75</v>
      </c>
    </row>
    <row r="14">
      <c r="A14" s="6" t="inlineStr">
        <is>
          <t>ต่ำ</t>
        </is>
      </c>
      <c r="B14" s="41" t="inlineStr">
        <is>
          <t>น้อยกว่าเกณฑ์ปานกลาง</t>
        </is>
      </c>
      <c r="C14" s="10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2026-10-20T11:05:04Z</dcterms:created>
  <dcterms:modified xmlns:dcterms="http://purl.org/dc/terms/" xmlns:xsi="http://www.w3.org/2001/XMLSchema-instance" xsi:type="dcterms:W3CDTF">2026-10-20T11:05:05Z</dcterms:modified>
</cp:coreProperties>
</file>